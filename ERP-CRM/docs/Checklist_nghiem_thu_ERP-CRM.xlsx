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30720" windowHeight="13320" activeTab="1"/>
  </bookViews>
  <sheets>
    <sheet name="Hướng dẫn" sheetId="1" r:id="rId1"/>
    <sheet name="Tổng hợp" sheetId="2" r:id="rId2"/>
    <sheet name="Workflow" sheetId="3" r:id="rId3"/>
    <sheet name="1. Sales" sheetId="4" r:id="rId4"/>
    <sheet name="2. Mua hàng" sheetId="5" r:id="rId5"/>
    <sheet name="3. Kho" sheetId="6" r:id="rId6"/>
    <sheet name="4. Kế toán" sheetId="7" r:id="rId7"/>
    <sheet name="5. Kỹ thuật" sheetId="8" r:id="rId8"/>
    <sheet name="6. Marketing" sheetId="9" r:id="rId9"/>
    <sheet name="7. BOD - Quản trị" sheetId="10" r:id="rId10"/>
    <sheet name="8. Liên phòng ban" sheetId="11" r:id="rId11"/>
  </sheets>
  <definedNames>
    <definedName name="_xlnm._FilterDatabase" localSheetId="3" hidden="1">'1. Sales'!$A$5:$O$115</definedName>
    <definedName name="_xlnm._FilterDatabase" localSheetId="4" hidden="1">'2. Mua hàng'!$A$5:$O$55</definedName>
    <definedName name="_xlnm._FilterDatabase" localSheetId="5" hidden="1">'3. Kho'!$A$5:$O$70</definedName>
    <definedName name="_xlnm._FilterDatabase" localSheetId="6" hidden="1">'4. Kế toán'!$A$5:$O$38</definedName>
    <definedName name="_xlnm._FilterDatabase" localSheetId="7" hidden="1">'5. Kỹ thuật'!$A$5:$O$39</definedName>
    <definedName name="_xlnm._FilterDatabase" localSheetId="8" hidden="1">'6. Marketing'!$A$5:$O$31</definedName>
    <definedName name="_xlnm._FilterDatabase" localSheetId="9" hidden="1">'7. BOD - Quản trị'!$A$5:$O$41</definedName>
    <definedName name="_xlnm._FilterDatabase" localSheetId="10" hidden="1">'8. Liên phòng ban'!$A$5:$O$13</definedName>
    <definedName name="_xlnm.Print_Titles" localSheetId="3">'1. Sales'!$5:$5</definedName>
    <definedName name="_xlnm.Print_Titles" localSheetId="4">'2. Mua hàng'!$5:$5</definedName>
    <definedName name="_xlnm.Print_Titles" localSheetId="5">'3. Kho'!$5:$5</definedName>
    <definedName name="_xlnm.Print_Titles" localSheetId="6">'4. Kế toán'!$5:$5</definedName>
    <definedName name="_xlnm.Print_Titles" localSheetId="7">'5. Kỹ thuật'!$5:$5</definedName>
    <definedName name="_xlnm.Print_Titles" localSheetId="8">'6. Marketing'!$5:$5</definedName>
    <definedName name="_xlnm.Print_Titles" localSheetId="9">'7. BOD - Quản trị'!$5:$5</definedName>
    <definedName name="_xlnm.Print_Titles" localSheetId="10">'8. Liên phòng ban'!$5:$5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<sst xmlns="http://schemas.openxmlformats.org/spreadsheetml/2006/main" count="2153" uniqueCount="1335">
  <si>
    <t>CHECKLIST NGHIỆM THU HỆ THỐNG ERP-CRM</t>
  </si>
  <si>
    <t>Kiểm thử theo workflow của từng phòng ban. Mỗi dòng là một tình huống: thao tác → kết quả mong đợi → người test ghi kết quả thực tế.</t>
  </si>
  <si>
    <t>1. Cách làm</t>
  </si>
  <si>
    <t>Bước 1</t>
  </si>
  <si>
    <t>Đọc sheet "Workflow" phần của phòng mình để hiểu thứ tự công việc, ai làm, vào menu nào.</t>
  </si>
  <si>
    <t>Bước 2</t>
  </si>
  <si>
    <t>Mở sheet của phòng mình (1. Sales … 8. Liên phòng ban). Làm lần lượt từng dòng, đăng nhập đúng tài khoản ghi ở dòng 2 của sheet.</t>
  </si>
  <si>
    <t>Bước 3</t>
  </si>
  <si>
    <t>Thực hiện cột "Tình huống / Thao tác", so với cột "Kết quả mong đợi", rồi điền các cột nền vàng.</t>
  </si>
  <si>
    <t>Bước 4</t>
  </si>
  <si>
    <t>Khi xong, xem sheet "Tổng hợp" (tự đếm), trưởng phòng ghi kết luận và ký.</t>
  </si>
  <si>
    <t>2. Các cột cần điền (nền vàng)</t>
  </si>
  <si>
    <t>Người test / Ngày test</t>
  </si>
  <si>
    <t>Tên người thực hiện và ngày test (dd/mm/yyyy).</t>
  </si>
  <si>
    <t>Kết quả</t>
  </si>
  <si>
    <t>Chọn trong danh sách:
• Đạt – hệ thống chạy đúng như cột Kết quả mong đợi.
• Không đạt – chạy khác mong đợi (sai số liệu, không chặn khi phải chặn, lỗi trang, sai thông báo, sai người nhận thông báo…).
• Bị chặn – không test được vì bước trước lỗi hoặc thiếu dữ liệu / quyền.
• Chưa test – để trống cũng tính là chưa test.</t>
  </si>
  <si>
    <t>Kết quả thực tế / Mô tả lỗi</t>
  </si>
  <si>
    <t>BẮT BUỘC khi Không đạt hoặc Bị chặn (ô sẽ tô đỏ nếu bỏ trống). Ghi rõ 3 ý: đã làm gì (dữ liệu nhập) – hệ thống phản hồi gì – sai ở chỗ nào so với mong đợi.</t>
  </si>
  <si>
    <t>Mức độ lỗi</t>
  </si>
  <si>
    <t>• Nghiêm trọng – sai tiền, sai tồn kho, mất dữ liệu, không làm tiếp được nghiệp vụ.
• Cao – chức năng chính sai nhưng có cách làm tạm.
• Trung bình – sai phụ, hiển thị sai, thông báo không rõ.
• Thấp – chính tả, giao diện, góp ý.</t>
  </si>
  <si>
    <t>Bằng chứng</t>
  </si>
  <si>
    <t>Tên file ảnh chụp màn hình / link, mã chứng từ liên quan (mã báo giá, SO, PO, phiếu…), tài khoản đã dùng.</t>
  </si>
  <si>
    <t>Dev phản hồi / Trạng thái xử lý</t>
  </si>
  <si>
    <t>Đội phát triển ghi nguyên nhân, cách sửa và cập nhật trạng thái: Mới → Đang sửa → Đã sửa – chờ test lại → Test lại đạt (hoặc Không sửa kèm lý do). Người test kiểm lại rồi đổi Kết quả.</t>
  </si>
  <si>
    <t>Ghi chú</t>
  </si>
  <si>
    <t>Ý kiến khác, đề xuất cải tiến.</t>
  </si>
  <si>
    <t>3. Ví dụ một dòng Không đạt (ghi theo mẫu này)</t>
  </si>
  <si>
    <t>Mã TC</t>
  </si>
  <si>
    <t>SAL-003</t>
  </si>
  <si>
    <t>Tình huống / Thao tác</t>
  </si>
  <si>
    <t>Tạo khách có MST trùng với khách đã có</t>
  </si>
  <si>
    <t>Kết quả mong đợi</t>
  </si>
  <si>
    <t>Báo lỗi trùng MST, không tạo bản ghi mới</t>
  </si>
  <si>
    <t>Không đạt</t>
  </si>
  <si>
    <t>Nhập khách "Công ty ABC 2" với MST 0101234567 (đã có ở "Công ty ABC"). Hệ thống báo "Khách hàng đã được tạo thành công" và danh sách có 2 khách cùng MST. Mong đợi phải chặn và báo trùng MST.</t>
  </si>
  <si>
    <t>Cao</t>
  </si>
  <si>
    <t>loi_SAL-003.png; tài khoản sales01</t>
  </si>
  <si>
    <t>4. Màu trong file</t>
  </si>
  <si>
    <t>Nền vàng</t>
  </si>
  <si>
    <t>Ô người test / dev điền.</t>
  </si>
  <si>
    <t>Nền xám</t>
  </si>
  <si>
    <t>Dòng tình huống phát sinh (thiếu dữ liệu, sai dữ liệu, bị từ chối, sai quyền…). Nền trắng là luồng chính.</t>
  </si>
  <si>
    <t>Dòng xanh nhạt</t>
  </si>
  <si>
    <t>Tên bước workflow, khớp số bước trong sheet Workflow.</t>
  </si>
  <si>
    <t>Ô đỏ</t>
  </si>
  <si>
    <t>Đã chọn Không đạt / Bị chặn nhưng chưa ghi mô tả lỗi hoặc mức độ.</t>
  </si>
  <si>
    <t>5. Chuẩn bị trước khi test</t>
  </si>
  <si>
    <t>Tài khoản</t>
  </si>
  <si>
    <t>Mỗi vai trò một tài khoản riêng: sales_staff, sales_manager, purchase_staff, purchase_manager, warehouse_staff, warehouse_manager, accountant, technical_engineer (2), technical_lead, marketing, legal_team, order_management, director, admin / super_admin, và 1 tài khoản không có quyền.</t>
  </si>
  <si>
    <t>Dữ liệu mẫu</t>
  </si>
  <si>
    <t>1 khách hàng có sẵn + 1 khách chưa có trong hệ thống; 2 nhà cung cấp; 3 sản phẩm (1 có S/N, 1 không S/N, 1 license); 2 kho (có 1 Kho runrate); 1 bảng giá bán; 1 bảng giá NCC; 1 mẫu tiến độ thanh toán; tỷ giá USD ngày test.</t>
  </si>
  <si>
    <t>Kiểm ở mọi bước</t>
  </si>
  <si>
    <t>Thông báo (chuông + email) đến đúng người; badge sidebar tăng / giảm đúng; nhật ký ghi lại người thao tác; người không có quyền không thấy nút và bị chặn khi gọi thẳng URL.</t>
  </si>
  <si>
    <t>TỔNG HỢP KẾT QUẢ NGHIỆM THU (tự tính từ các sheet phòng ban)</t>
  </si>
  <si>
    <t>Phòng ban</t>
  </si>
  <si>
    <t>Sheet</t>
  </si>
  <si>
    <t>Tổng TC</t>
  </si>
  <si>
    <t>Đạt</t>
  </si>
  <si>
    <t>Bị chặn</t>
  </si>
  <si>
    <t>Chưa test</t>
  </si>
  <si>
    <t>% đã test</t>
  </si>
  <si>
    <t>% đạt (trên số đã test)</t>
  </si>
  <si>
    <t>Lỗi Nghiêm trọng</t>
  </si>
  <si>
    <t>Lỗi Cao</t>
  </si>
  <si>
    <t>Trưởng phòng nghiệm thu</t>
  </si>
  <si>
    <t>Ngày ký</t>
  </si>
  <si>
    <t>Kết luận</t>
  </si>
  <si>
    <t>Ghi chú / điều kiện</t>
  </si>
  <si>
    <t>Kinh doanh (Sales)</t>
  </si>
  <si>
    <t>1. Sales</t>
  </si>
  <si>
    <t>Mua hàng (PO Team)</t>
  </si>
  <si>
    <t>2. Mua hàng</t>
  </si>
  <si>
    <t>Kho</t>
  </si>
  <si>
    <t>3. Kho</t>
  </si>
  <si>
    <t>Kế toán – Tài chính</t>
  </si>
  <si>
    <t>4. Kế toán</t>
  </si>
  <si>
    <t>Kỹ thuật</t>
  </si>
  <si>
    <t>5. Kỹ thuật</t>
  </si>
  <si>
    <t>Marketing</t>
  </si>
  <si>
    <t>6. Marketing</t>
  </si>
  <si>
    <t>BOD &amp; Quản trị hệ thống</t>
  </si>
  <si>
    <t>7. BOD - Quản trị</t>
  </si>
  <si>
    <t>Liên phòng ban (end-to-end)</t>
  </si>
  <si>
    <t>8. Liên phòng ban</t>
  </si>
  <si>
    <t>TỔNG CỘNG</t>
  </si>
  <si>
    <t>Quy ước kết luận:</t>
  </si>
  <si>
    <t>• Đạt: mọi dòng đã test, không còn lỗi Nghiêm trọng / Cao chưa sửa.</t>
  </si>
  <si>
    <t>• Đạt có điều kiện: còn lỗi Trung bình / Thấp — ghi danh sách mã TC và hạn sửa vào cột Ghi chú.</t>
  </si>
  <si>
    <t>• Không đạt: còn lỗi Nghiêm trọng / Cao, hoặc còn dòng Bị chặn / Chưa test ở luồng chính.</t>
  </si>
  <si>
    <t>WORKFLOW CHI TIẾT TỪNG PHÒNG BAN – đọc trước khi test</t>
  </si>
  <si>
    <t>PHÒNG KINH DOANH (SALES)</t>
  </si>
  <si>
    <t>Sales là điểm bắt đầu của mọi đơn hàng: tạo khách hàng, báo giá và đơn hàng bán (SO). Từ SO, hệ thống chuyển việc lần lượt sang Admin, Mua hàng, Kho, Kế toán. Sales không tự đặt hàng hay xuất kho, nhưng phải gửi yêu cầu và theo dõi đến khi khách trả đủ tiền.</t>
  </si>
  <si>
    <t>Bước</t>
  </si>
  <si>
    <t>Ai làm</t>
  </si>
  <si>
    <t>Vào đâu (menu)</t>
  </si>
  <si>
    <t>Việc cần làm</t>
  </si>
  <si>
    <t>Kết quả / trạng thái / chuyển cho ai</t>
  </si>
  <si>
    <t>Sales</t>
  </si>
  <si>
    <t>Master Data › Khách hàng</t>
  </si>
  <si>
    <t>Tạo khách hàng (tên, MST không trùng, ngành, địa chỉ) và ít nhất 1 người liên hệ (P.I.C) có tên, SĐT, email.</t>
  </si>
  <si>
    <t>Khách xuất hiện trong ô tìm khách ở Cơ hội, Đăng ký dự án, Báo giá. Đang lập báo giá mà chưa có khách thì dùng nút "Thêm khách hàng nhanh" trên form báo giá.</t>
  </si>
  <si>
    <t>Sales, người được mời, BOD/Manager, Marketing</t>
  </si>
  <si>
    <t>Bán hàng › Cơ hội</t>
  </si>
  <si>
    <t>Ghi nhận hoạt động gặp khách (gặp, demo, trình bày giải pháp...), mức tiềm năng 25–90%, mời người tham gia; khai quà tặng nếu cần, tạo ticket Kỹ thuật nếu cần kỹ sư đi cùng.</t>
  </si>
  <si>
    <t>Nháp → Đã lên lịch → Đã xác nhận → Đang thực hiện → Đã hoàn thành (hoặc Hoãn / Hủy). Chỉ hoàn thành được khi BOD đã xác nhận và ticket MKT/Kỹ thuật đi kèm đã xong. Cơ hội chín muồi → chuyển thành dự án.</t>
  </si>
  <si>
    <t>Sales → PM/PO Team</t>
  </si>
  <si>
    <t>Bán hàng › Đăng ký dự án</t>
  </si>
  <si>
    <t>Đăng ký dự án với Hãng: khách, Hãng, BOM hoặc file BOM (bắt buộc), giá trị dự kiến; dự án Fortinet nhập thêm Net to FTN.</t>
  </si>
  <si>
    <t>Mới đăng ký → Đang xử lý tiếp nhận → Đã gửi Hãng → Hãng đã báo giá/duyệt → Đã đăng ký – Đang theo đuổi → Closed Won / Lost. Nhánh: Thiếu thông tin, Dự án trùng, Hãng từ chối.</t>
  </si>
  <si>
    <t>Bán hàng › Báo giá › Tạo mới</t>
  </si>
  <si>
    <t>Nhập khách + P.I.C, dự án (nếu có, tải nhanh BOM), tiêu đề, ngày &amp; hạn báo giá, sản phẩm, số lượng, đơn giá, chiết khấu, VAT, tiền tệ, điều khoản. Gửi khách bằng PDF / Excel / email.</t>
  </si>
  <si>
    <t>Nháp → Đã gửi khách → KH chốt giá (hoặc Khách từ chối). Quá hạn chưa chốt → Hết hạn, muốn báo lại thì Nhân bản.</t>
  </si>
  <si>
    <t>Báo giá › Chuyển đơn hàng</t>
  </si>
  <si>
    <t>Trên báo giá đã chốt, bấm Chuyển đơn hàng.</t>
  </si>
  <si>
    <t>Sinh SO mã SO-YYYYMMDD-xxxx mang theo khách, sản phẩm, giá. Có dự án → "Bán theo dự án", không → "Bán lẻ". Báo giá bị khóa.</t>
  </si>
  <si>
    <t>Sales → người duyệt (BOD)</t>
  </si>
  <si>
    <t>Bán hàng › Đơn hàng bán › mở SO</t>
  </si>
  <si>
    <t>Lập P&amp;L (giá vốn, chi phí, margin), tiến độ thanh toán (đợt trước đặt hàng / trước xuất hàng / sau giao hàng), P.I.C phụ; bấm Gửi duyệt P&amp;L.</t>
  </si>
  <si>
    <t>P&amp;L: Nháp → Chờ duyệt → Đã duyệt (hoặc Yêu cầu chỉnh sửa / Từ chối). Sau khi gửi, SO bị khóa; muốn sửa đơn đã duyệt phải xin mở lại P&amp;L.</t>
  </si>
  <si>
    <t>Sales → Admin → PO Team</t>
  </si>
  <si>
    <t>SO › Tạo yêu cầu đặt hàng (danh sách: Bán hàng › Yêu cầu đặt hàng)</t>
  </si>
  <si>
    <t>Nhập Hãng, loại đơn, dòng cần đặt, POS-ID, End User (nếu cần CQ), S/N (Trade-up), file đính kèm bắt buộc. Hàng có sẵn ở Kho runrate thì tạo yêu cầu giữ hàng thay vì đặt.</t>
  </si>
  <si>
    <t>Bản nháp → Chờ Admin duyệt → Đã gửi → Đang xử lý → Hoàn thành. Có thể bị trả về "Thiếu thông tin" hoặc trả về sửa P&amp;L.</t>
  </si>
  <si>
    <t>Bán hàng › Theo dõi hàng về</t>
  </si>
  <si>
    <t>Theo dõi tiến độ đặt hàng và hàng về; tải license nếu có.</t>
  </si>
  <si>
    <t>Chờ đặt hàng → Đã đặt hàng → Chờ hàng về (ETD, ETA) → Hàng đã về. PO bị Hold thì Sales nhận thông báo kèm lý do.</t>
  </si>
  <si>
    <t>Sales → Admin → Kế toán → Kho</t>
  </si>
  <si>
    <t>SO</t>
  </si>
  <si>
    <t>Tạo yêu cầu xuất hóa đơn (chọn cần HĐ nháp hay xuất trực tiếp); gửi đề xuất xuất kho (được xuất một phần); cập nhật ngày giao hàng.</t>
  </si>
  <si>
    <t>Phiếu xuất: Chờ Admin duyệt xuất → Chờ KT xuất HĐ → Kho xuất thực tế. Ngày giao là mốc tính hạn các đợt "sau giao hàng".</t>
  </si>
  <si>
    <t>Sales → Kế toán (BOD nếu ngoại lệ)</t>
  </si>
  <si>
    <t>SO › Tiến độ thanh toán</t>
  </si>
  <si>
    <t>Upload UNC cho từng đợt khi khách chuyển khoản; xin duyệt ngoại lệ nếu khách muốn đặt/xuất trước khi trả.</t>
  </si>
  <si>
    <t>Kế toán xác nhận → đợt Đã thanh toán, công nợ giảm, bước bị khóa được mở. Giao đủ + HĐ đủ + thu đủ → SO Hoàn thành.</t>
  </si>
  <si>
    <t>Mọi nhân viên</t>
  </si>
  <si>
    <t>Bán hàng › Đặt phòng họp</t>
  </si>
  <si>
    <t>Chọn phòng, ngày, giờ, tiêu đề, người tham dự.</t>
  </si>
  <si>
    <t>Người được mời nhận lời mời và phản hồi; hệ thống chặn đặt trùng giờ.</t>
  </si>
  <si>
    <t>Sales / Sales Manager</t>
  </si>
  <si>
    <t>Bán hàng › Báo cáo tần suất gặp, Báo cáo bán hàng, Công nợ khách hàng</t>
  </si>
  <si>
    <t>Xem số lần gặp khách theo Sales, doanh thu / margin theo kỳ, công nợ khách của mình.</t>
  </si>
  <si>
    <t>Số liệu khớp cơ hội và đơn hàng thực tế.</t>
  </si>
  <si>
    <t>PHÒNG MUA HÀNG (PO TEAM)</t>
  </si>
  <si>
    <t>Mua hàng biến yêu cầu đặt hàng của Sales thành đơn đặt Hãng / NCC (PO), theo dõi hàng trên đường về và xác nhận hàng đã nhận. Một PO có thể gom hàng của nhiều SO cùng Hãng. Khi PO nhận hàng, hệ thống tự tạo phiếu nhập kho cho Kho.</t>
  </si>
  <si>
    <t>PO Team</t>
  </si>
  <si>
    <t>Master Data › Nhà cung cấp; Mua hàng › Bảng giá</t>
  </si>
  <si>
    <t>Tạo NCC (mã, tên, MST, email, người liên hệ + chức vụ), cấu hình mẫu PO. Import bảng giá Hãng, khai chiết khấu, xem trước và áp giá vào danh mục sản phẩm.</t>
  </si>
  <si>
    <t>Sales tra được giá khi báo giá; NCC dùng được khi tạo PO / hỏi giá.</t>
  </si>
  <si>
    <t>Mua hàng › Duyệt yêu cầu (PR)</t>
  </si>
  <si>
    <t>Kiểm tra yêu cầu đặt hàng Sales đã được Admin duyệt ("Đã gửi"): Hãng, mã SP, End User, file.</t>
  </si>
  <si>
    <t>Đủ → "Đang xử lý", dòng vào danh sách cần đặt. Thiếu → trả "Thiếu thông tin" hoặc trả Sales sửa P&amp;L.</t>
  </si>
  <si>
    <t>Mua hàng › Gom đơn cần đặt</t>
  </si>
  <si>
    <t>Chọn các dòng cùng Hãng → tạo PO nháp; gộp PO nháp cùng Hãng; kiểm tra mã PO, giá, điều khoản thanh toán. Không đặt được thì báo Sales / hủy dòng kèm lý do.</t>
  </si>
  <si>
    <t>PO nháp "Chờ đặt". Hủy dòng → P&amp;L của SO mở lại cho Sales.</t>
  </si>
  <si>
    <t>PO Team → purchase_manager</t>
  </si>
  <si>
    <t>Mua hàng › Đặt hàng với hãng (PO)</t>
  </si>
  <si>
    <t>Xác nhận PO nháp, gửi duyệt.</t>
  </si>
  <si>
    <t>Chờ đặt → Chờ duyệt → Đã đặt. Bị chặn nếu SO chưa thu đợt "trước đặt hàng". Sales của SO nhận thông báo.</t>
  </si>
  <si>
    <t>Mua hàng › Đặt hàng với hãng (PO) › mở PO</t>
  </si>
  <si>
    <t>Gửi PO qua email cho NCC; xác nhận khi Hãng xác nhận; cập nhật ETD, ETA, mã vận đơn; chuyển "Đang về"; upload license. Sự cố: Hold, trả về Gom đơn, hủy PO.</t>
  </si>
  <si>
    <t>Sales thấy mốc ETD/ETA ở Theo dõi hàng về.</t>
  </si>
  <si>
    <t>PO › Nhận hàng</t>
  </si>
  <si>
    <t>Nhận từng dòng / một phần / tất cả; nhập S/N (import file hoặc gõ tay).</t>
  </si>
  <si>
    <t>PO "Đang về (một phần)" / "Đã về – đủ hàng"; phiếu nhập kho tự sinh cho Kho; Sales được báo.</t>
  </si>
  <si>
    <t>PO Team / BOD</t>
  </si>
  <si>
    <t>Mua hàng › Báo cáo mua hàng</t>
  </si>
  <si>
    <t>Xem giá trị mua theo NCC / kỳ, xuất Excel.</t>
  </si>
  <si>
    <t>Số liệu khớp các PO trong kỳ.</t>
  </si>
  <si>
    <t>KHO</t>
  </si>
  <si>
    <t>Kho giữ số liệu tồn thật: mọi thiết bị theo dõi theo kho, Số PO và S/N. Phiếu nhập sinh từ PO của Mua hàng, phiếu xuất sinh từ đề xuất của Sales. Việc của Kho là kiểm hàng, ghi đúng S/N và bấm duyệt — chỉ khi Kho duyệt thì tồn mới tăng / giảm. Kho runrate là kho hàng có sẵn, Sales được xin giữ trước.</t>
  </si>
  <si>
    <t>Kho / Admin</t>
  </si>
  <si>
    <t>Kho hàng › Quản lý kho</t>
  </si>
  <si>
    <t>Tạo các kho, đánh dấu Kho runrate; import tồn đầu kỳ (mã SP, mã kho, S/N, ngày nhập).</t>
  </si>
  <si>
    <t>Kho xuất hiện ở mọi dropdown; tồn đầu đúng. Dòng import sai báo theo số dòng, không nhập.</t>
  </si>
  <si>
    <t>Kho hàng › Nhập kho</t>
  </si>
  <si>
    <t>Phiếu nhập tự sinh khi PO Team nhận hàng (Chờ xử lý). Đếm hàng, nhập / dán S/N, chọn kho, bấm Duyệt (hoặc Từ chối nếu sai). Nhập khác thì tạo phiếu tay.</t>
  </si>
  <si>
    <t>Phiếu Hoàn thành, hàng vào tồn đúng kho, gắn Số PO. In phiếu, xuất MISA.</t>
  </si>
  <si>
    <t>Sales → Kho / quản lý kho</t>
  </si>
  <si>
    <t>Kho hàng › Yêu cầu (Ticket)</t>
  </si>
  <si>
    <t>Sales xin giữ hàng theo model + số lượng ở Kho runrate; Kho duyệt hoặc từ chối kèm lý do.</t>
  </si>
  <si>
    <t>Số lượng đã giữ không còn trong phần khả dụng; xem được ai đang giữ gì và lịch sử.</t>
  </si>
  <si>
    <t>Kho hàng › Xuất kho</t>
  </si>
  <si>
    <t>Nhận đề xuất từ SO (chuẩn bị hàng). Khi Admin đã duyệt + KT đã xuất HĐ chính thức + đợt "trước xuất hàng" đã thu: chọn kho xuất, quét S/N từng thiết bị, bấm Duyệt, cập nhật ngày giao.</t>
  </si>
  <si>
    <t>Phiếu Hoàn thành, tồn trừ đúng S/N, S/N gắn khách và bắt đầu bảo hành. In phiếu / biên bản giao, xuất MISA.</t>
  </si>
  <si>
    <t>Kho hàng › Chuyển kho</t>
  </si>
  <si>
    <t>Chọn kho đi, kho đến, sản phẩm, S/N, số lượng → duyệt.</t>
  </si>
  <si>
    <t>Kho đi giảm, kho đến tăng đúng S/N.</t>
  </si>
  <si>
    <t>Kho → quản lý kho</t>
  </si>
  <si>
    <t>Kho hàng › Hàng hư hỏng</t>
  </si>
  <si>
    <t>Báo hỏng / thanh lý: chọn S/N, số lượng, lý do → chờ duyệt → duyệt.</t>
  </si>
  <si>
    <t>Thiết bị rời tồn khả dụng.</t>
  </si>
  <si>
    <t>Kho hàng › Tồn kho</t>
  </si>
  <si>
    <t>Xem tồn theo kho / Số PO / S/N, cảnh báo tồn thấp &amp; sắp hết hạn, cột tùy biến, cập nhật S/N hàng loạt, xuất Excel.</t>
  </si>
  <si>
    <t>Số liệu tồn khớp với các phiếu nhập / xuất / chuyển / hỏng đã duyệt.</t>
  </si>
  <si>
    <t>KẾ TOÁN – TÀI CHÍNH</t>
  </si>
  <si>
    <t>Kế toán giữ các "cổng tiền" của đơn hàng: chưa xác nhận đã thu đợt trước đặt hàng thì Mua hàng không chốt được PO; chưa xuất hóa đơn chính thức thì Kho không xuất được hàng. Ngoài ra Kế toán theo dõi công nợ khách hàng và rà soát tổng doanh số theo Hãng.</t>
  </si>
  <si>
    <t>Kế toán</t>
  </si>
  <si>
    <t>Hệ thống › Tiền tệ &amp; Tỷ giá; Hệ thống › Cài đặt (mẫu tiến độ thanh toán)</t>
  </si>
  <si>
    <t>Bật ngoại tệ, nhập / lấy tỷ giá ngày; tạo mẫu chia đợt thanh toán và ngưỡng giá trị đơn bắt buộc thu trước.</t>
  </si>
  <si>
    <t>Báo giá / đơn USD dùng đúng tỷ giá; Sales áp được mẫu thanh toán.</t>
  </si>
  <si>
    <t>Sales → Kế toán</t>
  </si>
  <si>
    <t>Đối chiếu UNC Sales upload với sao kê ngân hàng: đúng → Xác nhận; sai → Từ chối kèm lý do. Khách trả không qua Sales thì KT ghi nhận trực tiếp.</t>
  </si>
  <si>
    <t>Đợt Đã thanh toán, công nợ khách giảm; đợt "trước đặt hàng" mở PO, đợt "trước xuất hàng" mở xuất kho.</t>
  </si>
  <si>
    <t>Sales / Admin → Kế toán → Sales → Kế toán</t>
  </si>
  <si>
    <t>Yêu cầu xuất hóa đơn (từ SO hoặc phiếu xuất "Chờ KT xuất hóa đơn")</t>
  </si>
  <si>
    <t>Cần HĐ nháp: upload HĐ nháp → Sales xác nhận / báo sai (KT upload lại v2) → phát hành HĐ chính thức, ghi nhận Đã xuất HĐ. Xuất trực tiếp: đính kèm HĐ và ghi nhận luôn.</t>
  </si>
  <si>
    <t>Kho nhận thông báo được xuất hàng.</t>
  </si>
  <si>
    <t>Bán hàng › Công nợ khách hàng</t>
  </si>
  <si>
    <t>Xem tổng nợ từng khách, chi tiết từng đơn, báo cáo tuổi nợ, xuất sao kê theo kỳ.</t>
  </si>
  <si>
    <t>Nợ khách chỉ tính từ đơn đã duyệt trở đi.</t>
  </si>
  <si>
    <t>Kế toán / BOD</t>
  </si>
  <si>
    <t>Bán hàng › Tổng Doanh Số</t>
  </si>
  <si>
    <t>Đồng bộ doanh số theo Hãng từ PO, rà soát, xuất file.</t>
  </si>
  <si>
    <t>Số liệu khớp PO; chỉ BOD xóa được dòng.</t>
  </si>
  <si>
    <t>PHÒNG KỸ THUẬT</t>
  </si>
  <si>
    <t>Kỹ thuật làm việc qua ticket. Ai cần kỹ sư (Sales cần BOM, demo, triển khai; khách báo lỗi; nhân viên cần IT) đều tạo ticket. Mỗi ticket có hạn SLA tính bằng giờ làm việc; đồng hồ SLA dừng khi có kỹ sư nhận. Loại đơn giản thì kỹ sư tự nhận, loại phức tạp thì Lead phân công.</t>
  </si>
  <si>
    <t>Người yêu cầu</t>
  </si>
  <si>
    <t>Technical › Quản lý Ticket › Tạo mới (hoặc từ Cơ hội / Dự án)</t>
  </si>
  <si>
    <t>Chọn loại, ưu tiên, khách / dự án, mô tả, file.</t>
  </si>
  <si>
    <t>Ticket Open; hạn SLA: Cao 4h, Trung bình 8h giờ làm việc (8:00–12:00, 13:30–17:30, T2–T6, trừ ngày lễ).</t>
  </si>
  <si>
    <t>Kỹ sư / Lead</t>
  </si>
  <si>
    <t>Technical › Quản lý Ticket</t>
  </si>
  <si>
    <t>Loại BOM, tài liệu, hậu mãi, IT, khác: kỹ sư tự Nhận. Loại khảo sát, triển khai, đào tạo, sự kiện: Lead phân công.</t>
  </si>
  <si>
    <t>Open → Assigned, SLA dừng.</t>
  </si>
  <si>
    <t>Kỹ sư</t>
  </si>
  <si>
    <t>Ticket</t>
  </si>
  <si>
    <t>In Progress / Waiting (chờ khách, đối tác, Hãng); ghi Nhật ký hỗ trợ mỗi lần làm; trao đổi, upload kết quả; bàn giao nếu bận.</t>
  </si>
  <si>
    <t>Lịch sử đầy đủ, nhật ký là căn cứ tính công.</t>
  </si>
  <si>
    <t>Kỹ sư → người yêu cầu → Lead</t>
  </si>
  <si>
    <t>Kỹ sư chuyển Completed; người yêu cầu gửi yêu cầu đóng; Lead chuyển Closed.</t>
  </si>
  <si>
    <t>Ticket Closed. Ticket gắn cơ hội phải Completed thì Sales mới đóng được cơ hội.</t>
  </si>
  <si>
    <t>Kỹ thuật / Sales</t>
  </si>
  <si>
    <t>Technical › Tra cứu S/N – License</t>
  </si>
  <si>
    <t>Tra S/N khi khách báo lỗi.</t>
  </si>
  <si>
    <t>Thấy khách, đơn, ngày xuất, hạn bảo hành, license; còn bảo hành thì mở ticket Hậu mãi.</t>
  </si>
  <si>
    <t>Lead / BOD</t>
  </si>
  <si>
    <t>Technical › Báo cáo; Nhật ký hỗ trợ</t>
  </si>
  <si>
    <t>Xem ticket theo trạng thái, quá SLA, theo kỹ sư; xuất Excel.</t>
  </si>
  <si>
    <t>Số liệu khớp danh sách ticket.</t>
  </si>
  <si>
    <t>MARKETING</t>
  </si>
  <si>
    <t>Marketing có 3 mảng: tổ chức sự kiện, phục vụ yêu cầu của Sales (quà tặng, công tác, chi phí), và quản lý kho vật phẩm cùng quỹ hỗ trợ của Hãng. Mọi khoản tốn tiền đều phải qua BOD duyệt, sau đó Kế toán mới chi.</t>
  </si>
  <si>
    <t>Marketing → BOD</t>
  </si>
  <si>
    <t>Bán hàng › Kho vật phẩm MKT; quỹ Hãng trong Sự kiện Marketing</t>
  </si>
  <si>
    <t>Đề xuất vật phẩm mới (BOD duyệt mới có tồn), import hàng loạt; khai quỹ Hãng, chi từ quỹ, ghi nhận Hãng thanh toán.</t>
  </si>
  <si>
    <t>Tồn vật phẩm và số dư quỹ đúng, có lịch sử giao dịch.</t>
  </si>
  <si>
    <t>Bán hàng › Sự kiện Marketing</t>
  </si>
  <si>
    <t>Tạo sự kiện → gửi duyệt → mời khách, cập nhật tham dự, tạo ticket nhờ team khác → Hoàn thành.</t>
  </si>
  <si>
    <t>Nháp → Chờ duyệt → Đã duyệt (từ chối thì sửa gửi lại) → Hoàn thành.</t>
  </si>
  <si>
    <t>Sales → BOD → Marketing → Kế toán</t>
  </si>
  <si>
    <t>Yêu cầu Marketing (từ Cơ hội / sự kiện)</t>
  </si>
  <si>
    <t>Yêu cầu quà: BOD duyệt → Marketing phân công → nhận việc → phân bổ quà từ kho → bàn giao Sales → nộp kết quả → Marketing duyệt. Yêu cầu chi phí: BOD duyệt chi → KT thanh toán. Công tác: BOD duyệt.</t>
  </si>
  <si>
    <t>Chờ duyệt → Mới tiếp nhận → Đang thực hiện → Hoàn thành (hoặc Chờ thanh toán, Quá hạn, Từ chối).</t>
  </si>
  <si>
    <t>BAN GIÁM ĐỐC &amp; QUẢN TRỊ HỆ THỐNG</t>
  </si>
  <si>
    <t>BOD và Admin không có luồng riêng mà đứng ở các điểm duyệt trong luồng của phòng khác. Admin còn cấu hình hệ thống: ai được xem gì, ai duyệt gì, thông tin công ty, sao lưu dữ liệu. BOD dùng dashboard để nắm tình hình kinh doanh.</t>
  </si>
  <si>
    <t>Admin</t>
  </si>
  <si>
    <t>Quản lý Truy cập › Vai trò, Quyền, Phân nhóm (Team), Người dùng</t>
  </si>
  <si>
    <t>Tick quyền trên ma trận cho từng vai trò; quyền xem 3 mức own / group / all; gom nhóm và chỉ định Lead; gán quyền riêng.</t>
  </si>
  <si>
    <t>Người dùng thấy đúng menu, đúng dữ liệu.</t>
  </si>
  <si>
    <t>Hệ thống › Quy trình duyệt; Cài đặt</t>
  </si>
  <si>
    <t>Định nghĩa cấp duyệt cho P&amp;L, báo giá, PO, marketing; cài thông tin công ty, email, SLA kỹ thuật, mẫu PO, mẫu thanh toán.</t>
  </si>
  <si>
    <t>Chứng từ mới đi đúng cấp duyệt; phiếu in đúng thông tin công ty.</t>
  </si>
  <si>
    <t>BOD / Admin</t>
  </si>
  <si>
    <t>Chuông thông báo, badge sidebar</t>
  </si>
  <si>
    <t>BOD: duyệt P&amp;L, mở lại P&amp;L, ngoại lệ thanh toán / ủy quyền, hoạt động cơ hội &amp; quà, việc của Marketing. Admin: duyệt yêu cầu đặt hàng, đề xuất xuất kho, sửa Số PO, xóa PO.</t>
  </si>
  <si>
    <t>Việc chờ duyệt giảm sau khi xử lý.</t>
  </si>
  <si>
    <t>BOD</t>
  </si>
  <si>
    <t>Dashboard; các báo cáo</t>
  </si>
  <si>
    <t>Lọc theo kỳ / phòng / nhân viên, drill-down từng đơn; xem báo cáo bán hàng, tần suất gặp, dự án, mua hàng.</t>
  </si>
  <si>
    <t>Số liệu khớp danh sách gốc.</t>
  </si>
  <si>
    <t>Hệ thống › Cài đặt (cơ sở dữ liệu); Hệ thống › Nhật ký hoạt động; Hướng dẫn sử dụng</t>
  </si>
  <si>
    <t>Sao lưu, phục hồi, lưu trữ; tra nhật ký; upload tài liệu hướng dẫn.</t>
  </si>
  <si>
    <t>Dữ liệu an toàn, truy vết được ai làm gì.</t>
  </si>
  <si>
    <t>Master Data › Nhân viên; Quản lý Truy cập › Người dùng</t>
  </si>
  <si>
    <t>Tạo / import nhân viên, cấp tài khoản, gán vai trò (hàng loạt được); nhân viên nghỉ thì khóa tài khoản thay vì xóa.</t>
  </si>
  <si>
    <t>Nhân viên đăng nhập được, thấy đúng menu theo vai trò; tài khoản khóa không đăng nhập được.</t>
  </si>
  <si>
    <t>KỊCH BẢN LIÊN PHÒNG BAN (END-TO-END)</t>
  </si>
  <si>
    <t>Các sheet 1–7 kiểm từng phòng. Sheet này chạy một đơn hàng từ đầu đến cuối để kiểm chỗ bàn giao giữa các phòng: mỗi lần chuyển tay, người nhận phải thấy việc trong danh sách của mình và nhận thông báo. Hai cổng chặn do Kế toán giữ: UNC đợt trước đặt hàng (trước PO) và hóa đơn + UNC trước xuất (trước xuất kho).</t>
  </si>
  <si>
    <t>Báo giá</t>
  </si>
  <si>
    <t>Báo giá được chốt → chuyển SO</t>
  </si>
  <si>
    <t/>
  </si>
  <si>
    <t>Sales → BOD</t>
  </si>
  <si>
    <t>Lập P&amp;L + tiến độ thanh toán → BOD duyệt</t>
  </si>
  <si>
    <t>Sales → Admin</t>
  </si>
  <si>
    <t>Gửi yêu cầu đặt hàng → Admin duyệt</t>
  </si>
  <si>
    <t>CỔNG 1: xác nhận UNC đợt trước đặt hàng</t>
  </si>
  <si>
    <t>Chưa qua thì PO bị khóa (trừ ngoại lệ BOD)</t>
  </si>
  <si>
    <t>Mua hàng</t>
  </si>
  <si>
    <t>Gom đơn / PO</t>
  </si>
  <si>
    <t>Gom đơn, lập PO, duyệt PO → gửi Hãng → nhận hàng</t>
  </si>
  <si>
    <t>Nhập kho</t>
  </si>
  <si>
    <t>Nhập kho, nhập S/N</t>
  </si>
  <si>
    <t>SO / Xuất kho</t>
  </si>
  <si>
    <t>Đề xuất xuất kho → Admin duyệt</t>
  </si>
  <si>
    <t>Yêu cầu xuất HĐ</t>
  </si>
  <si>
    <t>CỔNG 2: xuất hóa đơn chính thức + UNC trước xuất</t>
  </si>
  <si>
    <t>Chưa qua thì Kho không xuất được</t>
  </si>
  <si>
    <t>Xuất kho</t>
  </si>
  <si>
    <t>Xuất kho, quét S/N</t>
  </si>
  <si>
    <t>Giao hàng, UNC đợt cuối → KT xác nhận, công nợ = 0</t>
  </si>
  <si>
    <t>SO Hoàn thành</t>
  </si>
  <si>
    <t>CHECKLIST NGHIỆM THU – PHÒNG KINH DOANH (SALES)</t>
  </si>
  <si>
    <t>Tài khoản test: sales_staff (thao tác chính), sales_manager (duyệt, xem nhóm), director (duyệt P&amp;L, ngoại lệ)</t>
  </si>
  <si>
    <t>Sales là điểm bắt đầu của mọi đơn hàng: tạo khách hàng, báo giá và đơn hàng bán (SO). Từ SO, hệ thống chuyển việc lần lượt sang Admin, Mua hàng, Kho, Kế toán. Sales không tự đặt hàng hay xuất kho, nhưng phải gửi yêu cầu và theo dõi đến khi khách trả đủ tiền.  →  Workflow từng bước (ai làm, vào menu nào, kết quả) xem ở sheet "Workflow". Cột "Bước" dưới đây khớp số bước trong Workflow.</t>
  </si>
  <si>
    <t>Chức năng</t>
  </si>
  <si>
    <t>Loại</t>
  </si>
  <si>
    <t>Người test</t>
  </si>
  <si>
    <t>Ngày test</t>
  </si>
  <si>
    <t>Kết quả thực tế / Mô tả lỗi
(bắt buộc khi Không đạt / Bị chặn)</t>
  </si>
  <si>
    <t>Bằng chứng
(ảnh, mã chứng từ, tài khoản)</t>
  </si>
  <si>
    <t>Dev phản hồi</t>
  </si>
  <si>
    <t>Trạng thái xử lý</t>
  </si>
  <si>
    <t>BƯỚC 1: KHÁCH HÀNG &amp; NGƯỜI LIÊN HỆ</t>
  </si>
  <si>
    <t>SAL-001</t>
  </si>
  <si>
    <t>Khách hàng</t>
  </si>
  <si>
    <t>Luồng chính</t>
  </si>
  <si>
    <t>Tạo khách hàng mới đủ thông tin (tên, MST, ngành, địa chỉ)</t>
  </si>
  <si>
    <t>Lưu thành công, xuất hiện trong danh sách và ô tìm kiếm</t>
  </si>
  <si>
    <t>SAL-002</t>
  </si>
  <si>
    <t>Thêm 2 người liên hệ cho khách</t>
  </si>
  <si>
    <t>Cả hai hiện trong dropdown P.I.C khi lập báo giá</t>
  </si>
  <si>
    <t>Phát sinh</t>
  </si>
  <si>
    <t>SAL-004</t>
  </si>
  <si>
    <t>Bỏ trống tên hoặc MST rồi lưu</t>
  </si>
  <si>
    <t>Báo lỗi bắt buộc ngay tại trường</t>
  </si>
  <si>
    <t>SAL-005</t>
  </si>
  <si>
    <t>Thêm liên hệ có email trùng liên hệ khác của cùng khách; thử cùng email ở khách khác</t>
  </si>
  <si>
    <t>Cùng khách: báo "Email này đã tồn tại…". Khách khác: cho phép</t>
  </si>
  <si>
    <t>SAL-006</t>
  </si>
  <si>
    <t>Nhập email sai định dạng</t>
  </si>
  <si>
    <t>Báo "Email không đúng định dạng"</t>
  </si>
  <si>
    <t>SAL-007</t>
  </si>
  <si>
    <t>Import khách từ file mẫu có dòng trùng MST và dòng thiếu cột</t>
  </si>
  <si>
    <t>Báo số dòng thành công / lỗi; dòng lỗi không được tạo</t>
  </si>
  <si>
    <t>SAL-008</t>
  </si>
  <si>
    <t>Sales A mở khách của Sales B (khác nhóm)</t>
  </si>
  <si>
    <t>Không thấy hoặc không sửa được, đúng phân quyền</t>
  </si>
  <si>
    <t>SAL-009</t>
  </si>
  <si>
    <t>Xóa khách đã có báo giá / đơn hàng</t>
  </si>
  <si>
    <t>Bị chặn hoặc cảnh báo, không mất dữ liệu liên quan</t>
  </si>
  <si>
    <t>BƯỚC 2: CƠ HỘI &amp; HOẠT ĐỘNG GẶP KHÁCH</t>
  </si>
  <si>
    <t>SAL-010</t>
  </si>
  <si>
    <t>Cơ hội</t>
  </si>
  <si>
    <t>Tạo cơ hội: chọn khách, loại hoạt động, tiềm năng, mời người tham gia</t>
  </si>
  <si>
    <t>Người được mời nhận thông báo</t>
  </si>
  <si>
    <t>SAL-011</t>
  </si>
  <si>
    <t>Người được mời bấm Đồng ý</t>
  </si>
  <si>
    <t>Hoạt động vào Calendar của họ</t>
  </si>
  <si>
    <t>SAL-012</t>
  </si>
  <si>
    <t>Chuyển trạng thái Nháp → Đã lên lịch → Đã xác nhận → Đang thực hiện → Hoàn thành</t>
  </si>
  <si>
    <t>Mỗi bước đổi trạng thái đúng, có lịch sử</t>
  </si>
  <si>
    <t>SAL-013</t>
  </si>
  <si>
    <t>Chuyển cơ hội thành dự án</t>
  </si>
  <si>
    <t>Dự án mới mang sẵn khách, nguồn cơ hội</t>
  </si>
  <si>
    <t>SAL-014</t>
  </si>
  <si>
    <t>Hoạt động trình bày giải pháp chưa được BOD/Manager xác nhận, bấm Hoàn thành</t>
  </si>
  <si>
    <t>Bị chặn, thông báo cần xác nhận</t>
  </si>
  <si>
    <t>SAL-015</t>
  </si>
  <si>
    <t>Yêu cầu quà tặng đang chờ BOD duyệt, bấm Hoàn thành; BOD từ chối quà</t>
  </si>
  <si>
    <t>Không hoàn thành được; khi bị từ chối Sales nhận thông báo</t>
  </si>
  <si>
    <t>SAL-016</t>
  </si>
  <si>
    <t>Ticket Marketing hoặc Kỹ thuật gắn với cơ hội chưa xong, bấm Hoàn thành</t>
  </si>
  <si>
    <t>SAL-017</t>
  </si>
  <si>
    <t>Người được mời bấm Từ chối; người không được mời mở link</t>
  </si>
  <si>
    <t>Từ chối: không xem chi tiết, có nút đổi ý. Không được mời: bị chặn</t>
  </si>
  <si>
    <t>SAL-018</t>
  </si>
  <si>
    <t>Hoãn / hủy hoạt động</t>
  </si>
  <si>
    <t>Trạng thái đổi, lịch của người tham gia cập nhật</t>
  </si>
  <si>
    <t>BƯỚC 3: ĐĂNG KÝ DỰ ÁN VỚI HÃNG</t>
  </si>
  <si>
    <t>SAL-019</t>
  </si>
  <si>
    <t>Đăng ký dự án</t>
  </si>
  <si>
    <t>Tạo dự án, chọn Hãng, nhập BOM / file BOM, gửi đăng ký</t>
  </si>
  <si>
    <t>"Mới đăng ký (Chờ tiếp nhận)", PM/PO Team nhận thông báo</t>
  </si>
  <si>
    <t>SAL-020</t>
  </si>
  <si>
    <t>PM tiếp nhận → gửi Hãng → đính kèm Báo giá Hãng (v1)</t>
  </si>
  <si>
    <t>Sales nhận "Dự án có Báo giá Hãng mới"</t>
  </si>
  <si>
    <t>SAL-021</t>
  </si>
  <si>
    <t>Hoàn tất ĐKDA, cập nhật tiến độ hàng tháng</t>
  </si>
  <si>
    <t>"Đã đăng ký – Đang theo đuổi", lưu được cập nhật tháng</t>
  </si>
  <si>
    <t>SAL-022</t>
  </si>
  <si>
    <t>Đóng dự án Closed Won / Closed Lost</t>
  </si>
  <si>
    <t>Trạng thái đúng, dự án khóa chỉnh sửa</t>
  </si>
  <si>
    <t>SAL-023</t>
  </si>
  <si>
    <t>Gửi đăng ký không có BOM và không có file BOM</t>
  </si>
  <si>
    <t>Bị chặn "Bắt buộc phải nhập Danh mục BOM…"</t>
  </si>
  <si>
    <t>SAL-024</t>
  </si>
  <si>
    <t>Dự án Fortinet không nhập Net to FTN hoặc nhập 0</t>
  </si>
  <si>
    <t>SAL-025</t>
  </si>
  <si>
    <t>Đăng ký trùng dự án đã có</t>
  </si>
  <si>
    <t>Cảnh báo trùng, hiện Sales đã đăng ký trước</t>
  </si>
  <si>
    <t>SAL-026</t>
  </si>
  <si>
    <t>PM báo trùng → Sales phản hồi "Không trùng"; Sales khác thử phản hồi</t>
  </si>
  <si>
    <t>Dự án quay lại xử lý; chỉ Sales phụ trách được phản hồi</t>
  </si>
  <si>
    <t>SAL-027</t>
  </si>
  <si>
    <t>PM trả "Thiếu thông tin" → Sales sửa, gửi lại</t>
  </si>
  <si>
    <t>Log ghi "gửi đăng ký lại (lần 2)"</t>
  </si>
  <si>
    <t>SAL-028</t>
  </si>
  <si>
    <t>PM bấm nhắc Hãng</t>
  </si>
  <si>
    <t>SLA được gia hạn, có log</t>
  </si>
  <si>
    <t>SAL-029</t>
  </si>
  <si>
    <t>Hãng từ chối → Sales nhân bản dự án</t>
  </si>
  <si>
    <t>Dự án cũ khóa sửa; bản nhân bản yêu cầu chọn Hãng mới</t>
  </si>
  <si>
    <t>SAL-030</t>
  </si>
  <si>
    <t>Hãng gửi báo giá nhiều lần; xóa 1 phiên bản</t>
  </si>
  <si>
    <t>Có v1, v2…; xóa 1 bản không ảnh hưởng bản khác</t>
  </si>
  <si>
    <t>SAL-031</t>
  </si>
  <si>
    <t>Thêm P.I.C phụ / người theo dõi</t>
  </si>
  <si>
    <t>Họ nhận thông báo và thấy dự án</t>
  </si>
  <si>
    <t>BƯỚC 4: LẬP BÁO GIÁ, GỬI KHÁCH</t>
  </si>
  <si>
    <t>SAL-032</t>
  </si>
  <si>
    <t>Tạo báo giá: khách, P.I.C, sản phẩm từ catalog / bảng giá, chiết khấu, VAT</t>
  </si>
  <si>
    <t>Tổng tiền tính đúng</t>
  </si>
  <si>
    <t>SAL-033</t>
  </si>
  <si>
    <t>Báo giá gắn dự án: bấm tải nhanh BOM</t>
  </si>
  <si>
    <t>Dòng sản phẩm được điền sẵn</t>
  </si>
  <si>
    <t>SAL-034</t>
  </si>
  <si>
    <t>In / xuất Excel / gửi email báo giá</t>
  </si>
  <si>
    <t>File đúng mẫu công ty, email đến đúng địa chỉ</t>
  </si>
  <si>
    <t>SAL-035</t>
  </si>
  <si>
    <t>Chuyển trạng thái Đã gửi khách → KH chốt giá</t>
  </si>
  <si>
    <t>Trạng thái đúng</t>
  </si>
  <si>
    <t>SAL-036</t>
  </si>
  <si>
    <t>Khách chưa có trong hệ thống: bấm "Thêm khách hàng nhanh" trên form báo giá</t>
  </si>
  <si>
    <t>Khách mới được chọn sẵn, dữ liệu đã nhập trên form không mất</t>
  </si>
  <si>
    <t>SAL-037</t>
  </si>
  <si>
    <t>Khách có rồi nhưng chưa có người liên hệ: bấm thêm nhanh P.I.C</t>
  </si>
  <si>
    <t>P.I.C mới được chọn sẵn</t>
  </si>
  <si>
    <t>SAL-038</t>
  </si>
  <si>
    <t>Sản phẩm chưa có trong danh mục: nhập tên tự do / tạo nhanh</t>
  </si>
  <si>
    <t>Lưu được, sản phẩm sinh ra trong danh mục</t>
  </si>
  <si>
    <t>SAL-039</t>
  </si>
  <si>
    <t>Không chọn P.I.C hoặc không có dòng sản phẩm nào</t>
  </si>
  <si>
    <t>Báo lỗi bắt buộc</t>
  </si>
  <si>
    <t>SAL-040</t>
  </si>
  <si>
    <t>Hạn báo giá trước ngày tạo</t>
  </si>
  <si>
    <t>Báo "Hạn báo giá phải sau hoặc bằng ngày tạo"</t>
  </si>
  <si>
    <t>SAL-041</t>
  </si>
  <si>
    <t>Số lượng 0 / âm, đơn giá âm, chiết khấu &gt; 100%</t>
  </si>
  <si>
    <t>SAL-042</t>
  </si>
  <si>
    <t>Chọn tiền tệ USD, đổi tỷ giá</t>
  </si>
  <si>
    <t>Hiện ô tỷ giá, tổng quy đổi VND đúng, giá tính lại khi đổi tỷ giá</t>
  </si>
  <si>
    <t>SAL-043</t>
  </si>
  <si>
    <t>Khách có bảng giá riêng</t>
  </si>
  <si>
    <t>Giá lấy theo bảng giá của khách</t>
  </si>
  <si>
    <t>SAL-044</t>
  </si>
  <si>
    <t>Khách từ chối báo giá</t>
  </si>
  <si>
    <t>"Khách từ chối", không chuyển đơn được</t>
  </si>
  <si>
    <t>SAL-045</t>
  </si>
  <si>
    <t>Khách không có email, bấm gửi email</t>
  </si>
  <si>
    <t>Báo lỗi rõ ràng</t>
  </si>
  <si>
    <t>BƯỚC 5: CHUYỂN BÁO GIÁ THÀNH ĐƠN HÀNG (SO)</t>
  </si>
  <si>
    <t>SAL-046</t>
  </si>
  <si>
    <t>Chuyển đơn hàng</t>
  </si>
  <si>
    <t>Bấm Chuyển đơn hàng trên báo giá đã chốt</t>
  </si>
  <si>
    <t>Sinh SO-YYYYMMDD-xxxx, báo giá thành "Đã chuyển đơn hàng"</t>
  </si>
  <si>
    <t>SAL-047</t>
  </si>
  <si>
    <t>Mở SO vừa tạo</t>
  </si>
  <si>
    <t>Đúng khách, sản phẩm, tổng tiền; loại đơn đúng (dự án / bán lẻ)</t>
  </si>
  <si>
    <t>SAL-048</t>
  </si>
  <si>
    <t>Báo giá đã quá hạn, bấm chuyển đơn</t>
  </si>
  <si>
    <t>Bị chặn, gợi ý nhân bản; nhân bản ra báo giá mới mã mới</t>
  </si>
  <si>
    <t>SAL-049</t>
  </si>
  <si>
    <t>Báo giá đã chuyển đơn: thử sửa / xóa / chuyển lần 2</t>
  </si>
  <si>
    <t>Đều bị chặn</t>
  </si>
  <si>
    <t>BƯỚC 6: P&amp;L, TIẾN ĐỘ THANH TOÁN, GỬI DUYỆT</t>
  </si>
  <si>
    <t>SAL-050</t>
  </si>
  <si>
    <t>P&amp;L</t>
  </si>
  <si>
    <t>Nhập giá vốn, thêm chi phí mặc định</t>
  </si>
  <si>
    <t>Margin và % margin tính đúng</t>
  </si>
  <si>
    <t>SAL-051</t>
  </si>
  <si>
    <t>Áp mẫu tiến độ thanh toán / tự thêm đợt</t>
  </si>
  <si>
    <t>Các đợt hiện đúng %, số tiền, mốc</t>
  </si>
  <si>
    <t>SAL-052</t>
  </si>
  <si>
    <t>Gửi duyệt P&amp;L → người duyệt duyệt</t>
  </si>
  <si>
    <t>"Chờ duyệt" → "Đã duyệt", Sales nhận thông báo</t>
  </si>
  <si>
    <t>SAL-053</t>
  </si>
  <si>
    <t>Gán P.I.C phụ và tỷ lệ chia margin</t>
  </si>
  <si>
    <t>P.I.C phụ nhận thông báo, doanh số chia đúng tỷ lệ</t>
  </si>
  <si>
    <t>SAL-054</t>
  </si>
  <si>
    <t>Tạo SO nhanh đặt Hãng (Mua hàng › Đơn hàng (Không PNL))</t>
  </si>
  <si>
    <t>Sinh đơn và yêu cầu đặt hàng, sản phẩm vào danh sách cần đặt</t>
  </si>
  <si>
    <t>SAL-055</t>
  </si>
  <si>
    <t>Đơn vượt ngưỡng giá trị, đặt 100% thanh toán sau giao hàng</t>
  </si>
  <si>
    <t>Bị chặn, yêu cầu ít nhất 1 đợt trước đặt hàng / trước xuất hàng</t>
  </si>
  <si>
    <t>SAL-056</t>
  </si>
  <si>
    <t>Người duyệt bấm Yêu cầu chỉnh sửa</t>
  </si>
  <si>
    <t>P&amp;L mở lại, Sales thấy lý do, sửa và gửi lại được</t>
  </si>
  <si>
    <t>SAL-057</t>
  </si>
  <si>
    <t>Người duyệt bấm Từ chối</t>
  </si>
  <si>
    <t>"Từ chối (P&amp;L)", Sales nhận thông báo kèm lý do</t>
  </si>
  <si>
    <t>SAL-058</t>
  </si>
  <si>
    <t>Sửa đơn / BOM / chi phí khi P&amp;L đang chờ duyệt hoặc đã duyệt</t>
  </si>
  <si>
    <t>Bị chặn; gửi yêu cầu mở lại P&amp;L → Director/Super admin duyệt → mở khóa</t>
  </si>
  <si>
    <t>SAL-059</t>
  </si>
  <si>
    <t>Chưa cấu hình quy trình duyệt P&amp;L, bấm gửi duyệt</t>
  </si>
  <si>
    <t>Chuyển sang chờ duyệt thủ công, không lỗi trang</t>
  </si>
  <si>
    <t>SAL-060</t>
  </si>
  <si>
    <t>Người không phải Sales phụ trách / quản lý bấm gửi duyệt</t>
  </si>
  <si>
    <t>SAL-061</t>
  </si>
  <si>
    <t>Chọn P.I.C phụ trùng người tạo đơn</t>
  </si>
  <si>
    <t>Báo lỗi</t>
  </si>
  <si>
    <t>SAL-062</t>
  </si>
  <si>
    <t>Đơn Trade-up thiếu S/N cho dòng HW</t>
  </si>
  <si>
    <t>Báo thiếu, không gửi được</t>
  </si>
  <si>
    <t>SAL-063</t>
  </si>
  <si>
    <t>Nhập số quá lớn (vd % hàng tỷ)</t>
  </si>
  <si>
    <t>Báo vượt giới hạn, không lỗi 500</t>
  </si>
  <si>
    <t>SAL-064</t>
  </si>
  <si>
    <t>Xóa / hủy đơn</t>
  </si>
  <si>
    <t>Xóa đơn nháp; xóa đơn đã duyệt / đã thanh toán / đã xuất kho</t>
  </si>
  <si>
    <t>Nháp: xóa được. Các trường hợp còn lại: bị chặn</t>
  </si>
  <si>
    <t>SAL-065</t>
  </si>
  <si>
    <t>Hủy đơn đã có thanh toán; hủy đơn đã có hàng về</t>
  </si>
  <si>
    <t>Có thanh toán: bị chặn. Có hàng về: bắt nhập lý do / chuyển quy trình trả hàng</t>
  </si>
  <si>
    <t>SAL-066</t>
  </si>
  <si>
    <t>Hủy đơn chưa có hàng</t>
  </si>
  <si>
    <t>Phiếu xuất liên quan bị hủy, tồn kho hoàn lại</t>
  </si>
  <si>
    <t>SAL-067</t>
  </si>
  <si>
    <t>Phân quyền đơn</t>
  </si>
  <si>
    <t>Sales A xem đơn của Sales B với quyền view_own / view_group / view_all</t>
  </si>
  <si>
    <t>own: chỉ đơn mình; group: đơn nhóm; all: tất cả</t>
  </si>
  <si>
    <t>BƯỚC 7: GỬI YÊU CẦU ĐẶT HÀNG</t>
  </si>
  <si>
    <t>SAL-068</t>
  </si>
  <si>
    <t>Yêu cầu đặt hàng</t>
  </si>
  <si>
    <t>Từ SO đã duyệt P&amp;L tạo yêu cầu, đính kèm file, lưu nháp rồi gửi</t>
  </si>
  <si>
    <t>Lưu nháp được, gửi được → "Chờ Admin duyệt"</t>
  </si>
  <si>
    <t>SAL-069</t>
  </si>
  <si>
    <t>Admin duyệt</t>
  </si>
  <si>
    <t>Sales nhận thông báo, PO Team thấy yêu cầu ở Duyệt yêu cầu (PR)</t>
  </si>
  <si>
    <t>SAL-070</t>
  </si>
  <si>
    <t>Gửi không có file đính kèm</t>
  </si>
  <si>
    <t>SAL-071</t>
  </si>
  <si>
    <t>Thiếu POS-ID / EU Name / MST khi sản phẩm cần CQ riêng</t>
  </si>
  <si>
    <t>SAL-072</t>
  </si>
  <si>
    <t>Import S/N từ file sai định dạng / file rỗng</t>
  </si>
  <si>
    <t>Báo "Không tìm thấy số S/N nào…"</t>
  </si>
  <si>
    <t>SAL-073</t>
  </si>
  <si>
    <t>Admin trả về "Cần bổ sung"; Sales tạo yêu cầu mới khi đang có yêu cầu cần bổ sung</t>
  </si>
  <si>
    <t>Sales nhận lý do, sửa và gửi lại; tạo mới thì tự chuyển về màn sửa yêu cầu cũ</t>
  </si>
  <si>
    <t>SAL-074</t>
  </si>
  <si>
    <t>Admin trả về để chỉnh lại P&amp;L</t>
  </si>
  <si>
    <t>P&amp;L mở lại cho Sales</t>
  </si>
  <si>
    <t>SAL-075</t>
  </si>
  <si>
    <t>Sửa yêu cầu đã gửi (không ở trạng thái nháp / cần bổ sung)</t>
  </si>
  <si>
    <t>BƯỚC 8: THEO DÕI HÀNG VỀ</t>
  </si>
  <si>
    <t>SAL-076</t>
  </si>
  <si>
    <t>Theo dõi hàng về</t>
  </si>
  <si>
    <t>Mở Theo dõi hàng về sau mỗi bước của PO</t>
  </si>
  <si>
    <t>Hiển thị đúng: Chờ đặt hàng → Đã đặt → Chờ hàng về (ETD/ETA) → Hàng đã về</t>
  </si>
  <si>
    <t>SAL-077</t>
  </si>
  <si>
    <t>PO Team Hold PO</t>
  </si>
  <si>
    <t>Sales nhận thông báo kèm lý do, SO hiện Hold</t>
  </si>
  <si>
    <t>BƯỚC 9: YÊU CẦU XUẤT HÓA ĐƠN &amp; XUẤT KHO</t>
  </si>
  <si>
    <t>SAL-078</t>
  </si>
  <si>
    <t>Hóa đơn &amp; xuất kho</t>
  </si>
  <si>
    <t>Tạo yêu cầu xuất HĐ cần HĐ nháp → KT upload nháp → Sales xác nhận → KT xuất chính thức</t>
  </si>
  <si>
    <t>Mỗi bước đổi trạng thái đúng, đúng người nhận thông báo</t>
  </si>
  <si>
    <t>SAL-079</t>
  </si>
  <si>
    <t>Gửi đề xuất xuất kho (toàn bộ hoặc một phần)</t>
  </si>
  <si>
    <t>Phiếu "Chờ Admin duyệt xuất", Kho nhận thông báo chuẩn bị hàng</t>
  </si>
  <si>
    <t>SAL-080</t>
  </si>
  <si>
    <t>Cập nhật ngày giao hàng</t>
  </si>
  <si>
    <t>Hạn các đợt "sau giao hàng" được tính lại</t>
  </si>
  <si>
    <t>SAL-081</t>
  </si>
  <si>
    <t>Hàng chưa về đủ mà yêu cầu giao hàng</t>
  </si>
  <si>
    <t>Báo "Hàng chưa về đủ…"</t>
  </si>
  <si>
    <t>SAL-082</t>
  </si>
  <si>
    <t>Đề xuất xuất số lượng vượt số còn lại</t>
  </si>
  <si>
    <t>Bị chặn, báo số còn lại cụ thể</t>
  </si>
  <si>
    <t>SAL-083</t>
  </si>
  <si>
    <t>Giao hàng khi phiếu xuất chưa duyệt</t>
  </si>
  <si>
    <t>SAL-084</t>
  </si>
  <si>
    <t>Sales báo HĐ nháp chưa chính xác</t>
  </si>
  <si>
    <t>KT import lại v2, Sales nhận thông báo kiểm tra lại</t>
  </si>
  <si>
    <t>SAL-085</t>
  </si>
  <si>
    <t>Hủy yêu cầu xuất HĐ đã được xử lý</t>
  </si>
  <si>
    <t>BƯỚC 10: THU TIỀN TỪNG ĐỢT</t>
  </si>
  <si>
    <t>SAL-086</t>
  </si>
  <si>
    <t>Thanh toán</t>
  </si>
  <si>
    <t>Upload UNC cho đợt → KT xác nhận</t>
  </si>
  <si>
    <t>Công nợ giảm, bước bị khóa (đặt hàng / xuất hàng) được mở</t>
  </si>
  <si>
    <t>SAL-087</t>
  </si>
  <si>
    <t>Đợt "trước xuất hàng" chưa thanh toán, thử xuất kho</t>
  </si>
  <si>
    <t>Không xuất được đến khi KT xác nhận hoặc BOD duyệt ngoại lệ</t>
  </si>
  <si>
    <t>SAL-088</t>
  </si>
  <si>
    <t>Xin ngoại lệ → BOD duyệt hoặc ủy quyền người khác; người không phải BOD bấm ủy quyền</t>
  </si>
  <si>
    <t>Người được ủy quyền nhận thông báo, duyệt được; không phải BOD: bị chặn</t>
  </si>
  <si>
    <t>SAL-089</t>
  </si>
  <si>
    <t>KT từ chối UNC</t>
  </si>
  <si>
    <t>Sales nhận thông báo kèm lý do, upload lại được</t>
  </si>
  <si>
    <t>SAL-090</t>
  </si>
  <si>
    <t>Xóa đợt đã hoàn thành hoặc đợt từ mẫu (không phải MANUAL)</t>
  </si>
  <si>
    <t>SAL-091</t>
  </si>
  <si>
    <t>Đợt thanh toán quá hạn</t>
  </si>
  <si>
    <t>Đơn hiện cảnh báo, chi phí lãi vay quá hạn tính vào P&amp;L</t>
  </si>
  <si>
    <t>BƯỚC 11: ĐẶT PHÒNG HỌP</t>
  </si>
  <si>
    <t>SAL-092</t>
  </si>
  <si>
    <t>Phòng họp</t>
  </si>
  <si>
    <t>Đặt phòng, mời người dự; người được mời phản hồi</t>
  </si>
  <si>
    <t>Họ nhận lời mời, phản hồi được</t>
  </si>
  <si>
    <t>SAL-093</t>
  </si>
  <si>
    <t>Đặt trùng khung giờ</t>
  </si>
  <si>
    <t>Báo "Phòng họp này đã có người đặt…"</t>
  </si>
  <si>
    <t>SAL-094</t>
  </si>
  <si>
    <t>Giờ kết thúc trước giờ bắt đầu; thiếu phòng / ngày / giờ / tiêu đề</t>
  </si>
  <si>
    <t>Bị chặn / báo bắt buộc</t>
  </si>
  <si>
    <t>SAL-095</t>
  </si>
  <si>
    <t>Người không đặt sửa / hủy lịch; xóa phòng có lịch sắp tới; tạo phòng trùng tên</t>
  </si>
  <si>
    <t>BƯỚC 12: BÁO CÁO BÁN HÀNG &amp; TẦN SUẤT GẶP</t>
  </si>
  <si>
    <t>SAL-096</t>
  </si>
  <si>
    <t>Báo cáo</t>
  </si>
  <si>
    <t>Mở Báo cáo tần suất gặp, lọc theo Sales / kỳ</t>
  </si>
  <si>
    <t>Số lần gặp khớp các hoạt động cơ hội đã hoàn thành</t>
  </si>
  <si>
    <t>SAL-097</t>
  </si>
  <si>
    <t>Mở Báo cáo bán hàng, lọc kỳ, xuất Excel và xuất báo cáo margin</t>
  </si>
  <si>
    <t>Doanh thu, margin khớp các SO trong kỳ; file mở được</t>
  </si>
  <si>
    <t>SAL-098</t>
  </si>
  <si>
    <t>Sales thường mở báo cáo của Sales khác</t>
  </si>
  <si>
    <t>Chỉ thấy phạm vi được phân quyền</t>
  </si>
  <si>
    <t>CHECKLIST NGHIỆM THU – PHÒNG MUA HÀNG (PO TEAM)</t>
  </si>
  <si>
    <t>Tài khoản test: purchase_staff (thao tác), purchase_manager (duyệt PO), admin (xóa PO, duyệt yêu cầu đặt hàng)</t>
  </si>
  <si>
    <t>Mua hàng biến yêu cầu đặt hàng của Sales thành đơn đặt Hãng / NCC (PO), theo dõi hàng trên đường về và xác nhận hàng đã nhận. Một PO có thể gom hàng của nhiều SO cùng Hãng. Khi PO nhận hàng, hệ thống tự tạo phiếu nhập kho cho Kho.  →  Workflow từng bước (ai làm, vào menu nào, kết quả) xem ở sheet "Workflow". Cột "Bước" dưới đây khớp số bước trong Workflow.</t>
  </si>
  <si>
    <t>BƯỚC 1: NHÀ CUNG CẤP &amp; BẢNG GIÁ NCC</t>
  </si>
  <si>
    <t>PUR-001</t>
  </si>
  <si>
    <t>Nhà cung cấp</t>
  </si>
  <si>
    <t>Tạo NCC đủ thông tin; cấu hình mẫu PO riêng</t>
  </si>
  <si>
    <t>Lưu thành công, mẫu PO áp dụng khi in PO của NCC này</t>
  </si>
  <si>
    <t>PUR-002</t>
  </si>
  <si>
    <t>Bảng giá NCC</t>
  </si>
  <si>
    <t>Import bảng giá Excel (Fortinet / Zyxel / QNAP / SonicWall / Perle)</t>
  </si>
  <si>
    <t>Tự nhận sheet, cột SKU, cột giá</t>
  </si>
  <si>
    <t>PUR-003</t>
  </si>
  <si>
    <t>Xem trước và áp giá vào sản phẩm; cấu hình chiết khấu</t>
  </si>
  <si>
    <t>Báo số sản phẩm tạo mới / cập nhật</t>
  </si>
  <si>
    <t>PUR-004</t>
  </si>
  <si>
    <t>Mã NCC trùng; thiếu email / chức vụ người liên hệ</t>
  </si>
  <si>
    <t>Báo "Mã nhà cung cấp này đã tồn tại" / báo bắt buộc</t>
  </si>
  <si>
    <t>PUR-005</t>
  </si>
  <si>
    <t>Xóa NCC đã có báo giá / đơn đặt hàng / phiếu nhập</t>
  </si>
  <si>
    <t>Bị chặn, nêu rõ lý do</t>
  </si>
  <si>
    <t>PUR-006</t>
  </si>
  <si>
    <t>File bảng giá trống / chỉ có tiêu đề / không có cột SKU hoặc cột giá</t>
  </si>
  <si>
    <t>Báo lỗi rõ, không import nửa chừng</t>
  </si>
  <si>
    <t>PUR-007</t>
  </si>
  <si>
    <t>Chiết khấu &lt; 0 hoặc &gt; 100</t>
  </si>
  <si>
    <t>PUR-008</t>
  </si>
  <si>
    <t>Tắt bảng giá</t>
  </si>
  <si>
    <t>Không còn xuất hiện khi tra giá lúc báo giá</t>
  </si>
  <si>
    <t>BƯỚC 2: TIẾP NHẬN YÊU CẦU ĐẶT HÀNG</t>
  </si>
  <si>
    <t>PUR-009</t>
  </si>
  <si>
    <t>Tiếp nhận yêu cầu</t>
  </si>
  <si>
    <t>Duyệt yêu cầu đặt hàng đủ thông tin</t>
  </si>
  <si>
    <t>"Đang xử lý", dòng vào Gom đơn cần đặt</t>
  </si>
  <si>
    <t>PUR-010</t>
  </si>
  <si>
    <t>Trả yêu cầu thiếu thông tin kèm lý do</t>
  </si>
  <si>
    <t>"Thiếu thông tin", Sales nhận lý do</t>
  </si>
  <si>
    <t>PUR-011</t>
  </si>
  <si>
    <t>Trả đơn về Sales để chỉnh P&amp;L</t>
  </si>
  <si>
    <t>SO mở lại P&amp;L, ghi nhật ký</t>
  </si>
  <si>
    <t>PUR-012</t>
  </si>
  <si>
    <t>Sales sửa thông tin EU tại bước đặt hàng</t>
  </si>
  <si>
    <t>Bị chặn, chỉ PO Team được sửa</t>
  </si>
  <si>
    <t>BƯỚC 3: GOM ĐƠN, TẠO PO NHÁP</t>
  </si>
  <si>
    <t>PUR-013</t>
  </si>
  <si>
    <t>Gom đơn</t>
  </si>
  <si>
    <t>Mở Gom đơn cần đặt</t>
  </si>
  <si>
    <t>Đúng các dòng từ yêu cầu đã duyệt, kèm SO, Sales, số lượng còn cần đặt</t>
  </si>
  <si>
    <t>PUR-014</t>
  </si>
  <si>
    <t>Tạo PO nháp; gộp 2+ PO nháp cùng Hãng</t>
  </si>
  <si>
    <t>Các dòng về chung 1 PO</t>
  </si>
  <si>
    <t>PUR-015</t>
  </si>
  <si>
    <t>Sinh mã PO tự động, sửa mã thủ công</t>
  </si>
  <si>
    <t>Kiểm tra trùng mã</t>
  </si>
  <si>
    <t>PUR-016</t>
  </si>
  <si>
    <t>Gộp PO nháp khác Hãng hoặc chỉ chọn 1 PO</t>
  </si>
  <si>
    <t>PUR-017</t>
  </si>
  <si>
    <t>Đặt số lượng lớn hơn số còn cần đặt</t>
  </si>
  <si>
    <t>PUR-018</t>
  </si>
  <si>
    <t>Hủy 1 sản phẩm ở bước gom đơn kèm lý do; khôi phục lại</t>
  </si>
  <si>
    <t>Sales nhận thông báo, P&amp;L mở lại; khôi phục được dòng đã hủy</t>
  </si>
  <si>
    <t>PUR-019</t>
  </si>
  <si>
    <t>Thông báo cho Sales về 1 sản phẩm (hết hàng, đổi model)</t>
  </si>
  <si>
    <t>Sales nhận thông báo</t>
  </si>
  <si>
    <t>BƯỚC 4: XÁC NHẬN &amp; DUYỆT PO</t>
  </si>
  <si>
    <t>PUR-020</t>
  </si>
  <si>
    <t>Duyệt PO</t>
  </si>
  <si>
    <t>Xác nhận PO nháp → gửi duyệt → purchase_manager duyệt</t>
  </si>
  <si>
    <t>"Đã đặt", Sales các SO liên quan nhận thông báo</t>
  </si>
  <si>
    <t>PUR-021</t>
  </si>
  <si>
    <t>Xem trước / in / xuất Excel PO</t>
  </si>
  <si>
    <t>Đúng mẫu công ty và mẫu riêng NCC</t>
  </si>
  <si>
    <t>PUR-022</t>
  </si>
  <si>
    <t>SO có đợt "trước đặt hàng" chưa được KT xác nhận, xác nhận PO nháp</t>
  </si>
  <si>
    <t>Bị chặn, liệt kê đợt còn thiếu</t>
  </si>
  <si>
    <t>PUR-023</t>
  </si>
  <si>
    <t>purchase_manager từ chối PO</t>
  </si>
  <si>
    <t>Người tạo nhận "PO … đã bị từ chối", sửa và gửi duyệt lại</t>
  </si>
  <si>
    <t>PUR-024</t>
  </si>
  <si>
    <t>Sửa PO không ở trạng thái nháp, hoặc đã hoàn thành / hủy</t>
  </si>
  <si>
    <t>PUR-025</t>
  </si>
  <si>
    <t>PO không gắn SO → liên kết thủ công với SO</t>
  </si>
  <si>
    <t>SO hiển thị tiến độ đặt hàng</t>
  </si>
  <si>
    <t>BƯỚC 5: GỬI HÃNG, THEO DÕI HÀNG VỀ</t>
  </si>
  <si>
    <t>PUR-026</t>
  </si>
  <si>
    <t>Gửi Hãng &amp; theo dõi</t>
  </si>
  <si>
    <t>Gửi PO qua email cho NCC</t>
  </si>
  <si>
    <t>Email đến đúng địa chỉ, kèm file PO</t>
  </si>
  <si>
    <t>PUR-027</t>
  </si>
  <si>
    <t>NCC xác nhận → cập nhật ETD, ETA, vận đơn</t>
  </si>
  <si>
    <t>Sales thấy "Hãng đang sản xuất (ETD …)" / "Đang vận chuyển về VN (ETA …)"</t>
  </si>
  <si>
    <t>PUR-028</t>
  </si>
  <si>
    <t>Chuyển PO sang "Đang về"</t>
  </si>
  <si>
    <t>Toàn bộ / từng dòng đổi trạng thái</t>
  </si>
  <si>
    <t>PUR-029</t>
  </si>
  <si>
    <t>Upload license cho dòng license</t>
  </si>
  <si>
    <t>Sales nhận thông báo, xem / tải được</t>
  </si>
  <si>
    <t>PUR-030</t>
  </si>
  <si>
    <t>Hold PO kèm lý do; gỡ Hold</t>
  </si>
  <si>
    <t>Sales nhận thông báo; gỡ Hold thì tiếp tục xử lý</t>
  </si>
  <si>
    <t>PUR-031</t>
  </si>
  <si>
    <t>Cập nhật tracking cho PO đã hoàn thành / đã hủy</t>
  </si>
  <si>
    <t>PUR-032</t>
  </si>
  <si>
    <t>Trả PO về Gom đơn (khi chưa Đang về); thử với PO đã Đang về</t>
  </si>
  <si>
    <t>Dòng quay lại Gom đơn; PO đã Đang về: bị chặn</t>
  </si>
  <si>
    <t>PUR-033</t>
  </si>
  <si>
    <t>Hủy PO kèm lý do</t>
  </si>
  <si>
    <t>Yêu cầu đặt hàng của Sales về "Thiếu thông tin", P&amp;L mở lại nếu chọn</t>
  </si>
  <si>
    <t>PUR-034</t>
  </si>
  <si>
    <t>Xóa PO bằng tài khoản không phải admin; admin xóa</t>
  </si>
  <si>
    <t>Không phải admin: bị chặn. Admin: xóa kèm phiếu nhập, tồn kho, phiếu xuất liên quan (kiểm tra tồn sau xóa)</t>
  </si>
  <si>
    <t>BƯỚC 6: NHẬN HÀNG, NHẬP S/N</t>
  </si>
  <si>
    <t>PUR-035</t>
  </si>
  <si>
    <t>Nhận hàng</t>
  </si>
  <si>
    <t>Nhận một phần</t>
  </si>
  <si>
    <t>PO "Đang về (một phần)", phiếu nhập tự sinh cho phần đã nhận, Sales thấy "Đã nhập kho một phần (x/y)"</t>
  </si>
  <si>
    <t>PUR-036</t>
  </si>
  <si>
    <t>Nhận đủ / Nhận tất cả</t>
  </si>
  <si>
    <t>"Đã về – đủ hàng", Sales nhận thông báo đủ hàng</t>
  </si>
  <si>
    <t>PUR-037</t>
  </si>
  <si>
    <t>Import S/N cho 1 PO và nhiều PO; nhập S/N thủ công</t>
  </si>
  <si>
    <t>S/N gắn đúng dòng PO</t>
  </si>
  <si>
    <t>PUR-038</t>
  </si>
  <si>
    <t>Nhận số lượng vượt số còn lại</t>
  </si>
  <si>
    <t>PUR-039</t>
  </si>
  <si>
    <t>File S/N không khớp mã PO / Part Number; file trống</t>
  </si>
  <si>
    <t>Báo rõ không tìm thấy dòng phù hợp / file không có dữ liệu</t>
  </si>
  <si>
    <t>PUR-040</t>
  </si>
  <si>
    <t>S/N trùng với S/N đã có trong kho</t>
  </si>
  <si>
    <t>Cảnh báo trùng</t>
  </si>
  <si>
    <t>PUR-041</t>
  </si>
  <si>
    <t>Ngày trong file sai định dạng</t>
  </si>
  <si>
    <t>Báo "Không thể parse ngày"</t>
  </si>
  <si>
    <t>PUR-042</t>
  </si>
  <si>
    <t>Sửa đơn giá dòng PO sau khi đã nhập kho</t>
  </si>
  <si>
    <t>Giá trị tồn kho cập nhật đúng quy định</t>
  </si>
  <si>
    <t>BƯỚC 7: BÁO CÁO MUA HÀNG</t>
  </si>
  <si>
    <t>PUR-043</t>
  </si>
  <si>
    <t>Báo cáo mua hàng</t>
  </si>
  <si>
    <t>Mở Báo cáo mua hàng, lọc theo NCC / kỳ, xuất Excel</t>
  </si>
  <si>
    <t>Số liệu khớp các PO trong kỳ, file mở được</t>
  </si>
  <si>
    <t>CHECKLIST NGHIỆM THU – KHO</t>
  </si>
  <si>
    <t>Tài khoản test: warehouse_staff (thao tác), warehouse_manager (duyệt), admin (duyệt đề xuất xuất kho, sửa Số PO phiếu nhập)</t>
  </si>
  <si>
    <t>Kho giữ số liệu tồn thật: mọi thiết bị theo dõi theo kho, Số PO và S/N. Phiếu nhập sinh từ PO của Mua hàng, phiếu xuất sinh từ đề xuất của Sales. Việc của Kho là kiểm hàng, ghi đúng S/N và bấm duyệt — chỉ khi Kho duyệt thì tồn mới tăng / giảm. Kho runrate là kho hàng có sẵn, Sales được xin giữ trước.  →  Workflow từng bước (ai làm, vào menu nào, kết quả) xem ở sheet "Workflow". Cột "Bước" dưới đây khớp số bước trong Workflow.</t>
  </si>
  <si>
    <t>BƯỚC 1: THIẾT LẬP KHO &amp; TỒN ĐẦU KỲ</t>
  </si>
  <si>
    <t>WH-001</t>
  </si>
  <si>
    <t>Thiết lập kho</t>
  </si>
  <si>
    <t>Tạo kho mới, đánh dấu Kho runrate</t>
  </si>
  <si>
    <t>Kho xuất hiện ở mọi dropdown chọn kho</t>
  </si>
  <si>
    <t>WH-002</t>
  </si>
  <si>
    <t>Import tồn kho từ Excel</t>
  </si>
  <si>
    <t>Báo số sản phẩm đã nhập, tồn đúng</t>
  </si>
  <si>
    <t>WH-003</t>
  </si>
  <si>
    <t>File có dòng thiếu mã kho / mã kho không tồn tại / mã SP không tồn tại / ngày sai / S/N trống hoặc trùng</t>
  </si>
  <si>
    <t>Báo lỗi theo "Dòng N: …", không nhập dòng lỗi</t>
  </si>
  <si>
    <t>WH-004</t>
  </si>
  <si>
    <t>File trống / chỉ có tiêu đề</t>
  </si>
  <si>
    <t>WH-005</t>
  </si>
  <si>
    <t>Xóa kho đang có hàng</t>
  </si>
  <si>
    <t>Bị chặn "Không thể xóa kho đang có hàng tồn kho"</t>
  </si>
  <si>
    <t>BƯỚC 2: NHẬP KHO</t>
  </si>
  <si>
    <t>WH-006</t>
  </si>
  <si>
    <t>PO được nhận hàng → mở phiếu nhập tự sinh</t>
  </si>
  <si>
    <t>Phiếu "Chờ xử lý" ghi chú tự tạo từ PO; dòng dịch vụ không vào phiếu</t>
  </si>
  <si>
    <t>WH-007</t>
  </si>
  <si>
    <t>Nhập S/N (mỗi dòng 1 S/N hoặc dấu phẩy), duyệt</t>
  </si>
  <si>
    <t>Hàng vào tồn đúng kho, đúng Số PO</t>
  </si>
  <si>
    <t>WH-008</t>
  </si>
  <si>
    <t>Tạo phiếu nhập tay (hàng mượn, trả lại) → duyệt</t>
  </si>
  <si>
    <t>Tồn tăng</t>
  </si>
  <si>
    <t>WH-009</t>
  </si>
  <si>
    <t>In phiếu nhập, xuất MISA 1 phiếu / nhiều phiếu</t>
  </si>
  <si>
    <t>File đúng định dạng</t>
  </si>
  <si>
    <t>WH-010</t>
  </si>
  <si>
    <t>Sản phẩm trên PO chưa có trong danh mục</t>
  </si>
  <si>
    <t>Tạo nhanh sản phẩm ngay trên phiếu nhập</t>
  </si>
  <si>
    <t>WH-011</t>
  </si>
  <si>
    <t>Nhập S/N đã tồn tại trong hệ thống</t>
  </si>
  <si>
    <t>Báo "Một hoặc nhiều Serial đã tồn tại…"</t>
  </si>
  <si>
    <t>WH-012</t>
  </si>
  <si>
    <t>Duyệt lại phiếu đã hoàn thành</t>
  </si>
  <si>
    <t>Báo đã duyệt trước đó, tồn không cộng 2 lần</t>
  </si>
  <si>
    <t>WH-013</t>
  </si>
  <si>
    <t>Từ chối phiếu nhập</t>
  </si>
  <si>
    <t>Người tạo nhận "Phiếu nhập đã bị từ chối", tồn không đổi</t>
  </si>
  <si>
    <t>WH-014</t>
  </si>
  <si>
    <t>Sửa / xóa phiếu đã hoàn thành; xóa phiếu chờ xử lý / bị từ chối</t>
  </si>
  <si>
    <t>Hoàn thành: bị chặn. Chờ xử lý / từ chối: xóa được</t>
  </si>
  <si>
    <t>WH-015</t>
  </si>
  <si>
    <t>Sửa Số PO phiếu nhập bằng tài khoản không phải admin; admin sửa</t>
  </si>
  <si>
    <t>Không phải admin: bị chặn. Admin: tồn gom theo Số PO mới</t>
  </si>
  <si>
    <t>WH-016</t>
  </si>
  <si>
    <t>Nhập kho một phần 2 lần cho cùng PO</t>
  </si>
  <si>
    <t>2 phiếu, tổng không vượt số lượng PO</t>
  </si>
  <si>
    <t>BƯỚC 3: GIỮ HÀNG (KHO RUNRATE)</t>
  </si>
  <si>
    <t>WH-017</t>
  </si>
  <si>
    <t>Giữ hàng</t>
  </si>
  <si>
    <t>Sales tạo yêu cầu giữ hàng theo model, số lượng</t>
  </si>
  <si>
    <t>Kho nhận "Yêu cầu giữ hàng từ bạn"</t>
  </si>
  <si>
    <t>WH-018</t>
  </si>
  <si>
    <t>Kho duyệt</t>
  </si>
  <si>
    <t>Sales nhận thông báo, số giữ không còn trong khả dụng</t>
  </si>
  <si>
    <t>WH-019</t>
  </si>
  <si>
    <t>Xuất kho đơn có hàng giữ: quét S/N bất kỳ cùng model</t>
  </si>
  <si>
    <t>Suất giữ chuyển đúng, không bị trừ trùng</t>
  </si>
  <si>
    <t>WH-020</t>
  </si>
  <si>
    <t>Xem danh sách người đang giữ và lịch sử giữ hàng</t>
  </si>
  <si>
    <t>Hiển thị đúng</t>
  </si>
  <si>
    <t>WH-021</t>
  </si>
  <si>
    <t>Giữ số lượng lớn hơn khả dụng</t>
  </si>
  <si>
    <t>Báo "Không đủ thiết bị khả dụng… (Yêu cầu: x, Khả dụng: y)"</t>
  </si>
  <si>
    <t>WH-022</t>
  </si>
  <si>
    <t>Chưa cấu hình Kho runrate, tạo / duyệt yêu cầu</t>
  </si>
  <si>
    <t>Không làm được, thông báo rõ</t>
  </si>
  <si>
    <t>WH-023</t>
  </si>
  <si>
    <t>Hai Sales cùng giữ 1 model, tổng vượt tồn</t>
  </si>
  <si>
    <t>Yêu cầu duyệt sau bị chặn</t>
  </si>
  <si>
    <t>WH-024</t>
  </si>
  <si>
    <t>Từ chối kèm lý do; duyệt yêu cầu không ở trạng thái Chờ duyệt</t>
  </si>
  <si>
    <t>Sales nhận lý do; duyệt lại: bị chặn</t>
  </si>
  <si>
    <t>WH-025</t>
  </si>
  <si>
    <t>Item đã bán / hỏng trước khi duyệt</t>
  </si>
  <si>
    <t>Báo "Item … không còn trong kho"</t>
  </si>
  <si>
    <t>WH-026</t>
  </si>
  <si>
    <t>Người không có quyền mở lịch sử giữ hàng</t>
  </si>
  <si>
    <t>WH-027</t>
  </si>
  <si>
    <t>Mở màn tồn kho sau khi giữ</t>
  </si>
  <si>
    <t>Tách đúng phần đang giữ, phần khóa CQ, phần khả dụng</t>
  </si>
  <si>
    <t>BƯỚC 4: XUẤT KHO GIAO KHÁCH</t>
  </si>
  <si>
    <t>WH-028</t>
  </si>
  <si>
    <t>Sales gửi đề xuất xuất kho</t>
  </si>
  <si>
    <t>WH-029</t>
  </si>
  <si>
    <t>Admin duyệt → KT xuất HĐ chính thức</t>
  </si>
  <si>
    <t>"Chờ KT xuất hóa đơn" → Kho nhận "Đơn hàng sẵn sàng xuất kho"</t>
  </si>
  <si>
    <t>WH-030</t>
  </si>
  <si>
    <t>Chọn kho xuất, quét S/N, duyệt</t>
  </si>
  <si>
    <t>Phiếu Hoàn thành, tồn trừ đúng S/N, S/N gắn đơn, bắt đầu tính bảo hành</t>
  </si>
  <si>
    <t>WH-031</t>
  </si>
  <si>
    <t>Hạn các đợt "sau giao hàng" tính lại</t>
  </si>
  <si>
    <t>WH-032</t>
  </si>
  <si>
    <t>Xuất một phần</t>
  </si>
  <si>
    <t>Phần còn lại vẫn còn trên đơn để xuất lần sau</t>
  </si>
  <si>
    <t>WH-033</t>
  </si>
  <si>
    <t>In phiếu xuất, xuất Excel, xuất MISA</t>
  </si>
  <si>
    <t>File đúng</t>
  </si>
  <si>
    <t>WH-034</t>
  </si>
  <si>
    <t>Duyệt xuất khi KT chưa xuất HĐ chính thức</t>
  </si>
  <si>
    <t>Bị chặn "Kho không thể xuất hàng: Kế toán chưa xuất hóa đơn…"</t>
  </si>
  <si>
    <t>WH-035</t>
  </si>
  <si>
    <t>Đợt "trước xuất hàng" chưa được KT xác nhận</t>
  </si>
  <si>
    <t>WH-036</t>
  </si>
  <si>
    <t>Admin từ chối đề xuất kèm lý do</t>
  </si>
  <si>
    <t>Phiếu về Bản nháp, Sales nhận lý do, gửi lại được</t>
  </si>
  <si>
    <t>WH-037</t>
  </si>
  <si>
    <t>Duyệt phiếu chưa được Admin phê duyệt</t>
  </si>
  <si>
    <t>WH-038</t>
  </si>
  <si>
    <t>Quét S/N không thuộc model / không còn trong kho / đang bị người khác giữ</t>
  </si>
  <si>
    <t>WH-039</t>
  </si>
  <si>
    <t>Số S/N quét khác số lượng xuất</t>
  </si>
  <si>
    <t>Báo không khớp</t>
  </si>
  <si>
    <t>WH-040</t>
  </si>
  <si>
    <t>Đổi kho xuất cho phiếu đã hoàn thành / hủy</t>
  </si>
  <si>
    <t>WH-041</t>
  </si>
  <si>
    <t>Phiếu thiếu thông tin kho</t>
  </si>
  <si>
    <t>Báo "Thiếu thông tin kho hàng. Không thể trừ tồn kho"</t>
  </si>
  <si>
    <t>WH-042</t>
  </si>
  <si>
    <t>Người không phải nhân sự kho sửa thông tin vận hành kho</t>
  </si>
  <si>
    <t>WH-043</t>
  </si>
  <si>
    <t>SO bị hủy</t>
  </si>
  <si>
    <t>Phiếu xuất liên quan bị hủy, tồn hoàn lại</t>
  </si>
  <si>
    <t>BƯỚC 5: CHUYỂN KHO</t>
  </si>
  <si>
    <t>WH-044</t>
  </si>
  <si>
    <t>Chuyển kho</t>
  </si>
  <si>
    <t>Tạo phiếu chuyển A → B, chọn S/N, duyệt</t>
  </si>
  <si>
    <t>A giảm, B tăng đúng S/N; người liên quan nhận thông báo</t>
  </si>
  <si>
    <t>WH-045</t>
  </si>
  <si>
    <t>Chuyển vượt tồn kho A, hoặc số lượng không khớp số S/N đã chọn</t>
  </si>
  <si>
    <t>WH-046</t>
  </si>
  <si>
    <t>Chuyển hàng đang được giữ</t>
  </si>
  <si>
    <t>Bị chặn hoặc cảnh báo</t>
  </si>
  <si>
    <t>WH-047</t>
  </si>
  <si>
    <t>Từ chối phiếu chuyển</t>
  </si>
  <si>
    <t>Tồn hai kho không đổi</t>
  </si>
  <si>
    <t>BƯỚC 6: HÀNG HỎNG / THANH LÝ</t>
  </si>
  <si>
    <t>WH-048</t>
  </si>
  <si>
    <t>Hàng hỏng</t>
  </si>
  <si>
    <t>Báo hỏng 1 S/N → duyệt</t>
  </si>
  <si>
    <t>S/N rời tồn khả dụng</t>
  </si>
  <si>
    <t>WH-049</t>
  </si>
  <si>
    <t>Báo hỏng số lượng lớn hơn tồn; item đã bán trước khi duyệt</t>
  </si>
  <si>
    <t>Bị chặn / báo không còn trong kho</t>
  </si>
  <si>
    <t>WH-050</t>
  </si>
  <si>
    <t>Sửa / xóa báo cáo hỏng đã duyệt</t>
  </si>
  <si>
    <t>BƯỚC 7: TỒN KHO</t>
  </si>
  <si>
    <t>WH-051</t>
  </si>
  <si>
    <t>Tồn kho &amp; báo cáo</t>
  </si>
  <si>
    <t>Xem tồn theo kho, Số PO, S/N; lọc theo cột</t>
  </si>
  <si>
    <t>WH-052</t>
  </si>
  <si>
    <t>Xem cảnh báo tồn thấp, hàng sắp hết hạn</t>
  </si>
  <si>
    <t>Liệt kê đúng sản phẩm</t>
  </si>
  <si>
    <t>WH-053</t>
  </si>
  <si>
    <t>Thêm cột tùy biến, nhập dữ liệu; xóa cột</t>
  </si>
  <si>
    <t>Hiển thị / nhập được; xóa thì dữ liệu cột được dọn</t>
  </si>
  <si>
    <t>WH-054</t>
  </si>
  <si>
    <t>Tạo cột trùng tên trong cùng tab</t>
  </si>
  <si>
    <t>WH-055</t>
  </si>
  <si>
    <t>Cập nhật S/N hàng loạt cho lô không S/N</t>
  </si>
  <si>
    <t>Báo số S/N đã cập nhật</t>
  </si>
  <si>
    <t>WH-056</t>
  </si>
  <si>
    <t>Cập nhật S/N vượt số tồn hoặc trùng</t>
  </si>
  <si>
    <t>WH-057</t>
  </si>
  <si>
    <t>Xuất Excel danh sách tồn kho</t>
  </si>
  <si>
    <t>Mở được, số liệu khớp màn hình</t>
  </si>
  <si>
    <t>WH-058</t>
  </si>
  <si>
    <t>Sau 1 phiếu nhập, 1 phiếu xuất, 1 phiếu chuyển, 1 báo hỏng: đối chiếu tồn của sản phẩm đó</t>
  </si>
  <si>
    <t>Tồn thay đổi đúng bằng số lượng các phiếu đã duyệt</t>
  </si>
  <si>
    <t>CHECKLIST NGHIỆM THU – KẾ TOÁN – TÀI CHÍNH</t>
  </si>
  <si>
    <t>Tài khoản test: accountant (thao tác), director / BOD (xóa dòng tổng doanh số, xem báo cáo tài chính)</t>
  </si>
  <si>
    <t>Kế toán giữ các "cổng tiền" của đơn hàng: chưa xác nhận đã thu đợt trước đặt hàng thì Mua hàng không chốt được PO; chưa xuất hóa đơn chính thức thì Kho không xuất được hàng. Ngoài ra Kế toán theo dõi công nợ khách hàng và rà soát tổng doanh số theo Hãng.  →  Workflow từng bước (ai làm, vào menu nào, kết quả) xem ở sheet "Workflow". Cột "Bước" dưới đây khớp số bước trong Workflow.</t>
  </si>
  <si>
    <t>BƯỚC 1: THIẾT LẬP TÀI CHÍNH</t>
  </si>
  <si>
    <t>ACC-001</t>
  </si>
  <si>
    <t>Thiết lập</t>
  </si>
  <si>
    <t>Bật / tắt tiền tệ; thử tắt VND</t>
  </si>
  <si>
    <t>Bật tắt được; VND: bị chặn "Không thể tắt tiền tệ cơ sở"</t>
  </si>
  <si>
    <t>ACC-002</t>
  </si>
  <si>
    <t>Nhập tỷ giá tay và lấy tỷ giá hôm nay</t>
  </si>
  <si>
    <t>Báo giá / đơn mới dùng đúng tỷ giá ngày</t>
  </si>
  <si>
    <t>ACC-003</t>
  </si>
  <si>
    <t>Tạo mẫu tiến độ thanh toán, bật / tắt, đặt ngưỡng</t>
  </si>
  <si>
    <t>SO vượt ngưỡng bị áp quy tắc thu trước</t>
  </si>
  <si>
    <t>BƯỚC 2: XÁC NHẬN THANH TOÁN (UNC)</t>
  </si>
  <si>
    <t>ACC-004</t>
  </si>
  <si>
    <t>Xác nhận UNC</t>
  </si>
  <si>
    <t>Sales upload UNC → KT xác nhận</t>
  </si>
  <si>
    <t>Đợt "Đã thanh toán", giao dịch thu tự sinh, công nợ giảm</t>
  </si>
  <si>
    <t>ACC-005</t>
  </si>
  <si>
    <t>Xác nhận đợt "trước đặt hàng" / "trước xuất hàng"</t>
  </si>
  <si>
    <t>PO / xuất kho của đơn được mở khóa, Sales nhận thông báo</t>
  </si>
  <si>
    <t>ACC-006</t>
  </si>
  <si>
    <t>KT ghi nhận thanh toán trực tiếp tại đơn</t>
  </si>
  <si>
    <t>Kết quả như xác nhận UNC</t>
  </si>
  <si>
    <t>ACC-007</t>
  </si>
  <si>
    <t>Xác nhận khi chưa có UNC</t>
  </si>
  <si>
    <t>Bị chặn "Bắt buộc phải Upload UNC…"</t>
  </si>
  <si>
    <t>ACC-008</t>
  </si>
  <si>
    <t>UNC sai số tiền → Từ chối kèm lý do</t>
  </si>
  <si>
    <t>Sales nhận thông báo, công nợ không đổi</t>
  </si>
  <si>
    <t>ACC-009</t>
  </si>
  <si>
    <t>Khách trả thiếu / trả gộp nhiều đợt</t>
  </si>
  <si>
    <t>Phân bổ đúng, đợt còn thiếu vẫn mở</t>
  </si>
  <si>
    <t>ACC-010</t>
  </si>
  <si>
    <t>Tài khoản không phải KT / Admin xác nhận hoặc từ chối</t>
  </si>
  <si>
    <t>ACC-011</t>
  </si>
  <si>
    <t>Thanh toán ngoại tệ</t>
  </si>
  <si>
    <t>Chênh lệch tỷ giá được ghi nhận</t>
  </si>
  <si>
    <t>BƯỚC 3: XUẤT HÓA ĐƠN</t>
  </si>
  <si>
    <t>ACC-012</t>
  </si>
  <si>
    <t>Xuất hóa đơn</t>
  </si>
  <si>
    <t>Yêu cầu cần HĐ nháp: upload nháp → Sales xác nhận → xuất chính thức</t>
  </si>
  <si>
    <t>"Đã hoàn tất xuất HĐ", Kho nhận thông báo xuất hàng</t>
  </si>
  <si>
    <t>ACC-013</t>
  </si>
  <si>
    <t>Yêu cầu xuất trực tiếp: đính kèm HĐ</t>
  </si>
  <si>
    <t>Hoàn tất ngay, không qua Sales duyệt</t>
  </si>
  <si>
    <t>ACC-014</t>
  </si>
  <si>
    <t>Xuất HĐ theo nhiều đợt đến khi đủ</t>
  </si>
  <si>
    <t>Báo "Tất cả các sản phẩm … đã được xuất hóa đơn đầy đủ"</t>
  </si>
  <si>
    <t>ACC-015</t>
  </si>
  <si>
    <t>Sales báo HĐ nháp sai → KT import lại</t>
  </si>
  <si>
    <t>Lịch sử giữ cả v1, v2</t>
  </si>
  <si>
    <t>ACC-016</t>
  </si>
  <si>
    <t>Sales xác nhận HĐ không ở trạng thái chờ kiểm tra</t>
  </si>
  <si>
    <t>ACC-017</t>
  </si>
  <si>
    <t>Chuyển trạng thái về "Chưa xuất HĐ"</t>
  </si>
  <si>
    <t>Ghi nhật ký, đơn quay lại bước chờ</t>
  </si>
  <si>
    <t>ACC-018</t>
  </si>
  <si>
    <t>Hủy yêu cầu đã xử lý</t>
  </si>
  <si>
    <t>ACC-019</t>
  </si>
  <si>
    <t>Người không phải KT / Admin upload HĐ</t>
  </si>
  <si>
    <t>BƯỚC 4: THEO DÕI CÔNG NỢ KHÁCH HÀNG</t>
  </si>
  <si>
    <t>ACC-020</t>
  </si>
  <si>
    <t>Công nợ</t>
  </si>
  <si>
    <t>Xem công nợ khách</t>
  </si>
  <si>
    <t>Chỉ gồm đơn đã duyệt / đang giao / hoàn thành; tổng khớp chi tiết</t>
  </si>
  <si>
    <t>ACC-021</t>
  </si>
  <si>
    <t>Báo cáo tuổi nợ khách hàng</t>
  </si>
  <si>
    <t>Chia đúng nhóm ngày quá hạn</t>
  </si>
  <si>
    <t>ACC-022</t>
  </si>
  <si>
    <t>Xuất sao kê công nợ khách theo kỳ</t>
  </si>
  <si>
    <t>Đúng tiêu đề, MST, kỳ, số dư</t>
  </si>
  <si>
    <t>ACC-023</t>
  </si>
  <si>
    <t>Nhập số tiền 0, âm, hoặc lớn hơn công nợ còn lại</t>
  </si>
  <si>
    <t>ACC-024</t>
  </si>
  <si>
    <t>Bỏ trống ngày / phương thức thanh toán</t>
  </si>
  <si>
    <t>Báo bắt buộc</t>
  </si>
  <si>
    <t>ACC-025</t>
  </si>
  <si>
    <t>Ghi thu từ màn công nợ cho đơn có tiến độ thanh toán</t>
  </si>
  <si>
    <t>Hướng dẫn gửi UNC tại chi tiết đơn</t>
  </si>
  <si>
    <t>ACC-026</t>
  </si>
  <si>
    <t>Xóa bản ghi thanh toán</t>
  </si>
  <si>
    <t>Công nợ tăng lại đúng số tiền</t>
  </si>
  <si>
    <t>BƯỚC 5: TỔNG DOANH SỐ</t>
  </si>
  <si>
    <t>ACC-027</t>
  </si>
  <si>
    <t>Tổng doanh số</t>
  </si>
  <si>
    <t>Đồng bộ dòng mới từ PO; đồng bộ lại lần 2</t>
  </si>
  <si>
    <t>Báo số dòng thêm; lần 2 báo "Không có dòng mới"</t>
  </si>
  <si>
    <t>ACC-028</t>
  </si>
  <si>
    <t>Sửa ô không cho phép; xóa dòng bằng tài khoản không phải BOD</t>
  </si>
  <si>
    <t>CHECKLIST NGHIỆM THU – PHÒNG KỸ THUẬT</t>
  </si>
  <si>
    <t>Tài khoản test: technical_engineer (2 tài khoản để test bàn giao), technical_lead, sales_staff (người yêu cầu)</t>
  </si>
  <si>
    <t>Kỹ thuật làm việc qua ticket. Ai cần kỹ sư (Sales cần BOM, demo, triển khai; khách báo lỗi; nhân viên cần IT) đều tạo ticket. Mỗi ticket có hạn SLA tính bằng giờ làm việc; đồng hồ SLA dừng khi có kỹ sư nhận. Loại đơn giản thì kỹ sư tự nhận, loại phức tạp thì Lead phân công.  →  Workflow từng bước (ai làm, vào menu nào, kết quả) xem ở sheet "Workflow". Cột "Bước" dưới đây khớp số bước trong Workflow.</t>
  </si>
  <si>
    <t>BƯỚC 1: TẠO TICKET &amp; SLA</t>
  </si>
  <si>
    <t>TEC-001</t>
  </si>
  <si>
    <t>Tạo ticket</t>
  </si>
  <si>
    <t>Tạo ticket loại tự nhận (BOM, tài liệu, hậu mãi, IT, khác)</t>
  </si>
  <si>
    <t>Cả team nhận "sẵn sàng pickup"</t>
  </si>
  <si>
    <t>TEC-002</t>
  </si>
  <si>
    <t>Tạo ticket loại chỉ Lead (khảo sát, triển khai, đào tạo, sự kiện)</t>
  </si>
  <si>
    <t>Chỉ Lead nhận "cần phân công"</t>
  </si>
  <si>
    <t>TEC-003</t>
  </si>
  <si>
    <t>Tạo ticket từ dự án</t>
  </si>
  <si>
    <t>Lead phụ trách nhận thông báo</t>
  </si>
  <si>
    <t>TEC-004</t>
  </si>
  <si>
    <t>SLA</t>
  </si>
  <si>
    <t>Tạo ticket 16:30 thứ Sáu, ưu tiên Cao</t>
  </si>
  <si>
    <t>Hạn SLA rơi vào sáng thứ Hai (4 giờ làm việc)</t>
  </si>
  <si>
    <t>TEC-005</t>
  </si>
  <si>
    <t>Thêm ngày lễ trong Cài đặt SLA rồi tạo ticket</t>
  </si>
  <si>
    <t>Ticket mới bỏ qua ngày lễ khi tính hạn</t>
  </si>
  <si>
    <t>TEC-006</t>
  </si>
  <si>
    <t>Tạo ticket trùng (cùng khách, cùng nội dung)</t>
  </si>
  <si>
    <t>TEC-007</t>
  </si>
  <si>
    <t>Tài khoản không có quyền tạo ticket</t>
  </si>
  <si>
    <t>BƯỚC 2: NHẬN / PHÂN CÔNG / BÀN GIAO</t>
  </si>
  <si>
    <t>TEC-008</t>
  </si>
  <si>
    <t>Nhận / phân công</t>
  </si>
  <si>
    <t>Kỹ sư nhận ticket loại tự nhận</t>
  </si>
  <si>
    <t>Assigned, SLA dừng</t>
  </si>
  <si>
    <t>TEC-009</t>
  </si>
  <si>
    <t>Lead phân công cho kỹ sư</t>
  </si>
  <si>
    <t>Kỹ sư nhận thông báo</t>
  </si>
  <si>
    <t>TEC-010</t>
  </si>
  <si>
    <t>Kỹ sư nhận ticket loại chỉ Lead</t>
  </si>
  <si>
    <t>Bị chặn theo ma trận phân quyền</t>
  </si>
  <si>
    <t>TEC-011</t>
  </si>
  <si>
    <t>Kỹ sư phân công cho người khác</t>
  </si>
  <si>
    <t>TEC-012</t>
  </si>
  <si>
    <t>Phân công cho tài khoản đã khóa / không thuộc team Kỹ thuật</t>
  </si>
  <si>
    <t>TEC-013</t>
  </si>
  <si>
    <t>Bàn giao ticket cho kỹ sư khác</t>
  </si>
  <si>
    <t>Người mới nhận thông báo, lịch sử giữ người cũ</t>
  </si>
  <si>
    <t>TEC-014</t>
  </si>
  <si>
    <t>Người không liên quan bàn giao</t>
  </si>
  <si>
    <t>TEC-015</t>
  </si>
  <si>
    <t>Đổi ma trận quyền ticket kỹ thuật</t>
  </si>
  <si>
    <t>Quyền nhận thay đổi ngay</t>
  </si>
  <si>
    <t>BƯỚC 3: XỬ LÝ TICKET</t>
  </si>
  <si>
    <t>TEC-016</t>
  </si>
  <si>
    <t>Xử lý</t>
  </si>
  <si>
    <t>In Progress → Waiting → In Progress → Completed</t>
  </si>
  <si>
    <t>Lead nhận "Kỹ sư đã hoàn thành… Vui lòng đóng"</t>
  </si>
  <si>
    <t>TEC-017</t>
  </si>
  <si>
    <t>Thêm / sửa / xóa nhật ký hỗ trợ</t>
  </si>
  <si>
    <t>Lưu đúng thời gian, nội dung</t>
  </si>
  <si>
    <t>TEC-018</t>
  </si>
  <si>
    <t>Người không phải kỹ sư đang làm / Lead sửa nhật ký</t>
  </si>
  <si>
    <t>TEC-019</t>
  </si>
  <si>
    <t>Trao đổi, upload tài liệu (BOM, slide, hình, cấu hình, biên bản mượn)</t>
  </si>
  <si>
    <t>Hiển thị trong ticket, tải được</t>
  </si>
  <si>
    <t>TEC-020</t>
  </si>
  <si>
    <t>Người chỉ có quyền xem gửi trao đổi / upload</t>
  </si>
  <si>
    <t>TEC-021</t>
  </si>
  <si>
    <t>Upload file không hợp lệ</t>
  </si>
  <si>
    <t>Báo "Không có tài liệu tải lên nào hợp lệ"</t>
  </si>
  <si>
    <t>BƯỚC 4: HOÀN THÀNH &amp; ĐÓNG</t>
  </si>
  <si>
    <t>TEC-022</t>
  </si>
  <si>
    <t>Đóng ticket</t>
  </si>
  <si>
    <t>Người yêu cầu gửi yêu cầu đóng; Lead đóng</t>
  </si>
  <si>
    <t>Closed</t>
  </si>
  <si>
    <t>TEC-023</t>
  </si>
  <si>
    <t>Người khác gửi yêu cầu đóng; kỹ sư tự đóng</t>
  </si>
  <si>
    <t>TEC-024</t>
  </si>
  <si>
    <t>Ticket gắn cơ hội chưa Completed, Sales đóng cơ hội</t>
  </si>
  <si>
    <t>Cơ hội không hoàn thành được</t>
  </si>
  <si>
    <t>BƯỚC 5: TRA CỨU S/N</t>
  </si>
  <si>
    <t>TEC-025</t>
  </si>
  <si>
    <t>Tra cứu S/N</t>
  </si>
  <si>
    <t>Tra S/N đã bán</t>
  </si>
  <si>
    <t>Hiện khách, SO, ngày xuất, hạn bảo hành, license</t>
  </si>
  <si>
    <t>TEC-026</t>
  </si>
  <si>
    <t>Tra S/N không tồn tại</t>
  </si>
  <si>
    <t>"Không tìm thấy thiết bị"</t>
  </si>
  <si>
    <t>TEC-027</t>
  </si>
  <si>
    <t>Tài khoản không có quyền tra cứu</t>
  </si>
  <si>
    <t>BƯỚC 6: BÁO CÁO</t>
  </si>
  <si>
    <t>TEC-028</t>
  </si>
  <si>
    <t>Dashboard kỹ thuật, xuất Excel</t>
  </si>
  <si>
    <t>Số ticket theo trạng thái, quá SLA, theo kỹ sư khớp danh sách</t>
  </si>
  <si>
    <t>CHECKLIST NGHIỆM THU – MARKETING</t>
  </si>
  <si>
    <t>Tài khoản test: marketing, sales_staff (người yêu cầu), director / BOD (duyệt), accountant (thanh toán)</t>
  </si>
  <si>
    <t>Marketing có 3 mảng: tổ chức sự kiện, phục vụ yêu cầu của Sales (quà tặng, công tác, chi phí), và quản lý kho vật phẩm cùng quỹ hỗ trợ của Hãng. Mọi khoản tốn tiền đều phải qua BOD duyệt, sau đó Kế toán mới chi.  →  Workflow từng bước (ai làm, vào menu nào, kết quả) xem ở sheet "Workflow". Cột "Bước" dưới đây khớp số bước trong Workflow.</t>
  </si>
  <si>
    <t>BƯỚC 1: VẬT PHẨM &amp; QUỸ HÃNG</t>
  </si>
  <si>
    <t>MKT-001</t>
  </si>
  <si>
    <t>Vật phẩm</t>
  </si>
  <si>
    <t>Đề xuất vật phẩm mới → BOD duyệt</t>
  </si>
  <si>
    <t>Tồn kho vật phẩm được khởi tạo</t>
  </si>
  <si>
    <t>MKT-002</t>
  </si>
  <si>
    <t>BOD từ chối; người không phải BOD / Admin duyệt</t>
  </si>
  <si>
    <t>Vật phẩm không dùng được; duyệt: bị chặn</t>
  </si>
  <si>
    <t>MKT-003</t>
  </si>
  <si>
    <t>Import vật phẩm từ file mẫu</t>
  </si>
  <si>
    <t>Báo số thêm mới / cập nhật</t>
  </si>
  <si>
    <t>MKT-004</t>
  </si>
  <si>
    <t>Xuất vật phẩm vượt tồn</t>
  </si>
  <si>
    <t>Báo "Không đủ tồn kho để xuất. Tồn hiện tại: …"</t>
  </si>
  <si>
    <t>MKT-005</t>
  </si>
  <si>
    <t>Quỹ Hãng</t>
  </si>
  <si>
    <t>Tạo / import quỹ, chi từ quỹ, thu công nợ Hãng</t>
  </si>
  <si>
    <t>Số dư quỹ giảm khi chi; thu tạo giao dịch tất toán</t>
  </si>
  <si>
    <t>MKT-006</t>
  </si>
  <si>
    <t>Thu lại giao dịch đã tất toán</t>
  </si>
  <si>
    <t>BƯỚC 2: SỰ KIỆN</t>
  </si>
  <si>
    <t>MKT-007</t>
  </si>
  <si>
    <t>Sự kiện</t>
  </si>
  <si>
    <t>Tạo sự kiện → gửi duyệt → BOD duyệt / từ chối kèm lý do</t>
  </si>
  <si>
    <t>Trạng thái đúng, người tạo nhận thông báo</t>
  </si>
  <si>
    <t>MKT-008</t>
  </si>
  <si>
    <t>Sửa sự kiện đang chờ duyệt / đã duyệt</t>
  </si>
  <si>
    <t>Bị chặn (chỉ sửa khi Nháp / Từ chối)</t>
  </si>
  <si>
    <t>MKT-009</t>
  </si>
  <si>
    <t>Chưa cấu hình quy trình duyệt marketing, gửi duyệt</t>
  </si>
  <si>
    <t>Báo rõ, không lỗi trang</t>
  </si>
  <si>
    <t>MKT-010</t>
  </si>
  <si>
    <t>Thêm / bỏ khách, cập nhật tham dự từng khách và hàng loạt</t>
  </si>
  <si>
    <t>Lưu đúng</t>
  </si>
  <si>
    <t>MKT-011</t>
  </si>
  <si>
    <t>Tạo ticket phối hợp cho team khác</t>
  </si>
  <si>
    <t>Team đó nhận "Sự kiện … cần … phối hợp"</t>
  </si>
  <si>
    <t>MKT-012</t>
  </si>
  <si>
    <t>Thiếu file Excel danh sách khách khi loại yêu cầu bắt buộc</t>
  </si>
  <si>
    <t>MKT-013</t>
  </si>
  <si>
    <t>Hoàn thành sự kiện chưa duyệt</t>
  </si>
  <si>
    <t>MKT-014</t>
  </si>
  <si>
    <t>Tạo dự án từ khách của sự kiện</t>
  </si>
  <si>
    <t>Dự án ghi nguồn "Dự án phát sinh từ sự kiện"</t>
  </si>
  <si>
    <t>BƯỚC 3: YÊU CẦU MARKETING (QUÀ, CÔNG TÁC, CHI PHÍ)</t>
  </si>
  <si>
    <t>MKT-015</t>
  </si>
  <si>
    <t>Yêu cầu quà</t>
  </si>
  <si>
    <t>Yêu cầu quà từ cơ hội → BOD duyệt → phân công → chấp nhận → phân bổ quà → bàn giao → Hoàn thành</t>
  </si>
  <si>
    <t>Mỗi bước đúng trạng thái, tồn vật phẩm giảm</t>
  </si>
  <si>
    <t>MKT-016</t>
  </si>
  <si>
    <t>Hoàn tác phân bổ quà; hoàn tác giao dịch không phải xuất quà</t>
  </si>
  <si>
    <t>Vật phẩm trả về kho; giao dịch khác: bị chặn</t>
  </si>
  <si>
    <t>MKT-017</t>
  </si>
  <si>
    <t>Phân bổ giao dịch thuộc cơ hội / sự kiện khác</t>
  </si>
  <si>
    <t>MKT-018</t>
  </si>
  <si>
    <t>Nhân sự nộp kết quả → Marketing duyệt / yêu cầu làm lại</t>
  </si>
  <si>
    <t>Hoàn thành hoặc quay lại thực hiện kèm lý do</t>
  </si>
  <si>
    <t>MKT-019</t>
  </si>
  <si>
    <t>Người không được gán nộp kết quả / cập nhật trạng thái</t>
  </si>
  <si>
    <t>MKT-020</t>
  </si>
  <si>
    <t>Công tác</t>
  </si>
  <si>
    <t>Gửi yêu cầu đi công tác → BOD duyệt / từ chối</t>
  </si>
  <si>
    <t>Chỉ BOD thao tác được</t>
  </si>
  <si>
    <t>MKT-021</t>
  </si>
  <si>
    <t>Chi phí</t>
  </si>
  <si>
    <t>Yêu cầu chi phí → BOD duyệt chi → KT xác nhận đã thanh toán</t>
  </si>
  <si>
    <t>"Chờ thanh toán" → hoàn tất</t>
  </si>
  <si>
    <t>MKT-022</t>
  </si>
  <si>
    <t>Người không phải KT xác nhận thanh toán</t>
  </si>
  <si>
    <t>MKT-023</t>
  </si>
  <si>
    <t>Yêu cầu</t>
  </si>
  <si>
    <t>Để yêu cầu quá hạn</t>
  </si>
  <si>
    <t>Tự chuyển "Quá hạn"</t>
  </si>
  <si>
    <t>CHECKLIST NGHIỆM THU – BAN GIÁM ĐỐC &amp; QUẢN TRỊ HỆ THỐNG</t>
  </si>
  <si>
    <t>Tài khoản test: director (BOD), super_admin, admin; thêm 1 tài khoản không có quyền để thử truy cập trái phép</t>
  </si>
  <si>
    <t>BOD và Admin không có luồng riêng mà đứng ở các điểm duyệt trong luồng của phòng khác. Admin còn cấu hình hệ thống: ai được xem gì, ai duyệt gì, thông tin công ty, sao lưu dữ liệu. BOD dùng dashboard để nắm tình hình kinh doanh.  →  Workflow từng bước (ai làm, vào menu nào, kết quả) xem ở sheet "Workflow". Cột "Bước" dưới đây khớp số bước trong Workflow.</t>
  </si>
  <si>
    <t>BƯỚC 1: PHÂN QUYỀN</t>
  </si>
  <si>
    <t>ADM-001</t>
  </si>
  <si>
    <t>Phân quyền</t>
  </si>
  <si>
    <t>Tạo vai trò, tick quyền trên ma trận</t>
  </si>
  <si>
    <t>Người có vai trò thấy / mất menu và nút sau khi đăng nhập lại</t>
  </si>
  <si>
    <t>ADM-002</t>
  </si>
  <si>
    <t>Gán quyền trực tiếp cho 1 người, thu hồi</t>
  </si>
  <si>
    <t>Có hiệu lực đúng</t>
  </si>
  <si>
    <t>ADM-003</t>
  </si>
  <si>
    <t>Kiểm 3 mức xem own / group / all cho báo giá, đơn hàng, PO</t>
  </si>
  <si>
    <t>Mỗi mức thấy đúng phạm vi</t>
  </si>
  <si>
    <t>ADM-004</t>
  </si>
  <si>
    <t>Nhóm có Lead</t>
  </si>
  <si>
    <t>Lead thấy dữ liệu thành viên nhóm</t>
  </si>
  <si>
    <t>ADM-005</t>
  </si>
  <si>
    <t>Tài khoản không có quyền gõ thẳng URL trang quản trị / trang duyệt</t>
  </si>
  <si>
    <t>403, không lộ dữ liệu</t>
  </si>
  <si>
    <t>BƯỚC 2: QUY TRÌNH DUYỆT &amp; CÀI ĐẶT</t>
  </si>
  <si>
    <t>ADM-006</t>
  </si>
  <si>
    <t>Quy trình duyệt</t>
  </si>
  <si>
    <t>Tạo / bật / tắt quy trình duyệt nhiều cấp</t>
  </si>
  <si>
    <t>Chứng từ mới đi đúng các cấp; tắt thì chuyển duyệt thủ công</t>
  </si>
  <si>
    <t>ADM-007</t>
  </si>
  <si>
    <t>Cài đặt</t>
  </si>
  <si>
    <t>Cập nhật thông tin công ty</t>
  </si>
  <si>
    <t>Hiện trên báo giá, PO, phiếu in</t>
  </si>
  <si>
    <t>ADM-008</t>
  </si>
  <si>
    <t>Cấu hình email, gửi thử</t>
  </si>
  <si>
    <t>Nhận được mail</t>
  </si>
  <si>
    <t>ADM-009</t>
  </si>
  <si>
    <t>Cấu hình email sai rồi gửi thử</t>
  </si>
  <si>
    <t>Báo lỗi rõ</t>
  </si>
  <si>
    <t>BƯỚC 3: HÀNG DUYỆT CỦA BOD / ADMIN</t>
  </si>
  <si>
    <t>ADM-010</t>
  </si>
  <si>
    <t>Duyệt BOD</t>
  </si>
  <si>
    <t>Badge và chuông khi có việc chờ duyệt; duyệt xong</t>
  </si>
  <si>
    <t>Số đúng, giảm sau khi duyệt</t>
  </si>
  <si>
    <t>ADM-011</t>
  </si>
  <si>
    <t>Duyệt / từ chối / yêu cầu sửa P&amp;L; duyệt yêu cầu mở lại P&amp;L</t>
  </si>
  <si>
    <t>Đúng như mục Sales</t>
  </si>
  <si>
    <t>ADM-012</t>
  </si>
  <si>
    <t>Duyệt ngoại lệ thanh toán toàn đơn và từng đợt; ủy quyền rồi thu hồi</t>
  </si>
  <si>
    <t>Người bị thu hồi không duyệt được nữa</t>
  </si>
  <si>
    <t>ADM-013</t>
  </si>
  <si>
    <t>Duyệt hoạt động cơ hội, quà tặng, sự kiện, vật phẩm, chi phí, công tác</t>
  </si>
  <si>
    <t>Đúng như mục Sales / Marketing</t>
  </si>
  <si>
    <t>ADM-014</t>
  </si>
  <si>
    <t>Sửa / xóa đơn đã duyệt P&amp;L bằng tài khoản thiếu quyền edit_/delete_approved_pnl_sales</t>
  </si>
  <si>
    <t>BƯỚC 4: DASHBOARD &amp; BÁO CÁO</t>
  </si>
  <si>
    <t>ADM-015</t>
  </si>
  <si>
    <t>Dashboard</t>
  </si>
  <si>
    <t>Dashboard BOD: lọc kỳ / phòng / nhân viên, drill-down</t>
  </si>
  <si>
    <t>Số liệu khớp danh sách gốc</t>
  </si>
  <si>
    <t>ADM-016</t>
  </si>
  <si>
    <t>Dashboard hoạt động kinh doanh: làm mới, xuất file</t>
  </si>
  <si>
    <t>Chạy được, file đúng</t>
  </si>
  <si>
    <t>ADM-017</t>
  </si>
  <si>
    <t>Báo cáo tổng quan, cơ hội, dự án, bán hàng / margin</t>
  </si>
  <si>
    <t>Số liệu khớp</t>
  </si>
  <si>
    <t>ADM-018</t>
  </si>
  <si>
    <t>Tài khoản không có quyền export_business_reports xuất báo cáo</t>
  </si>
  <si>
    <t>ADM-019</t>
  </si>
  <si>
    <t>Chọn kỳ không có dữ liệu</t>
  </si>
  <si>
    <t>Hiển thị 0 / trống, không lỗi</t>
  </si>
  <si>
    <t>BƯỚC 5: VẬN HÀNH HỆ THỐNG</t>
  </si>
  <si>
    <t>ADM-020</t>
  </si>
  <si>
    <t>Dữ liệu</t>
  </si>
  <si>
    <t>Sao lưu CSDL, tải file; phục hồi trên môi trường test; lưu trữ dữ liệu cũ</t>
  </si>
  <si>
    <t>File tải được; phục hồi đúng thời điểm sao lưu</t>
  </si>
  <si>
    <t>ADM-021</t>
  </si>
  <si>
    <t>Nhật ký</t>
  </si>
  <si>
    <t>Mở Nhật ký hoạt động sau các thao tác ở các sheet phòng ban</t>
  </si>
  <si>
    <t>Ghi đủ ai, lúc nào, thay đổi gì</t>
  </si>
  <si>
    <t>ADM-022</t>
  </si>
  <si>
    <t>Hướng dẫn</t>
  </si>
  <si>
    <t>Admin upload tài liệu hướng dẫn, người dùng tải về</t>
  </si>
  <si>
    <t>Tải được</t>
  </si>
  <si>
    <t>BƯỚC 6: NHÂN VIÊN &amp; TÀI KHOẢN</t>
  </si>
  <si>
    <t>ADM-023</t>
  </si>
  <si>
    <t>Nhân viên</t>
  </si>
  <si>
    <t>Tạo nhân viên</t>
  </si>
  <si>
    <t>Đăng nhập được, thấy đúng menu theo vai trò</t>
  </si>
  <si>
    <t>ADM-024</t>
  </si>
  <si>
    <t>Import nhân viên từ Excel</t>
  </si>
  <si>
    <t>Báo số thêm / cập nhật / lỗi</t>
  </si>
  <si>
    <t>ADM-025</t>
  </si>
  <si>
    <t>Import file sai định dạng hoặc &gt; 10MB</t>
  </si>
  <si>
    <t>ADM-026</t>
  </si>
  <si>
    <t>Gán vai trò hàng loạt</t>
  </si>
  <si>
    <t>Vai trò áp đúng cho người được chọn</t>
  </si>
  <si>
    <t>ADM-027</t>
  </si>
  <si>
    <t>Gán hàng loạt không chọn nhân viên / vai trò</t>
  </si>
  <si>
    <t>ADM-028</t>
  </si>
  <si>
    <t>Khóa tài khoản; mở khóa</t>
  </si>
  <si>
    <t>Khóa: không đăng nhập được, không xuất hiện khi phân công. Mở: dùng lại bình thường</t>
  </si>
  <si>
    <t>ADM-029</t>
  </si>
  <si>
    <t>Xóa tài khoản Quản trị viên hệ thống</t>
  </si>
  <si>
    <t>ADM-030</t>
  </si>
  <si>
    <t>Nhân viên nghỉ đang phụ trách đơn / dự án</t>
  </si>
  <si>
    <t>Dữ liệu cũ vẫn hiện tên, chuyển giao được</t>
  </si>
  <si>
    <t>CHECKLIST NGHIỆM THU – KỊCH BẢN LIÊN PHÒNG BAN (END-TO-END)</t>
  </si>
  <si>
    <t>Tài khoản test: Mỗi phòng dùng tài khoản của mình, chạy trên cùng 1 đơn hàng thật</t>
  </si>
  <si>
    <t>Các sheet 1–7 kiểm từng phòng. Sheet này chạy một đơn hàng từ đầu đến cuối để kiểm chỗ bàn giao giữa các phòng: mỗi lần chuyển tay, người nhận phải thấy việc trong danh sách của mình và nhận thông báo. Hai cổng chặn do Kế toán giữ: UNC đợt trước đặt hàng (trước PO) và hóa đơn + UNC trước xuất (trước xuất kho).  →  Workflow từng bước (ai làm, vào menu nào, kết quả) xem ở sheet "Workflow". Cột "Bước" dưới đây khớp số bước trong Workflow.</t>
  </si>
  <si>
    <t>E2E-001</t>
  </si>
  <si>
    <t>1–10</t>
  </si>
  <si>
    <t>Kịch bản A – Đơn chuẩn</t>
  </si>
  <si>
    <t>Khách mới (thêm nhanh trên báo giá) → báo giá → SO → P&amp;L duyệt → đặt hàng → PO → nhập kho → HĐ → xuất kho → thu đủ</t>
  </si>
  <si>
    <t>SO "Hoàn thành", công nợ khách = 0, tồn kho về đúng số trước khi nhập</t>
  </si>
  <si>
    <t>E2E-002</t>
  </si>
  <si>
    <t>1–3, 6–10</t>
  </si>
  <si>
    <t>Kịch bản B – Hàng có sẵn Kho runrate</t>
  </si>
  <si>
    <t>Giữ hàng → SO → bỏ qua đặt hàng → xuất kho bằng S/N khác cùng model</t>
  </si>
  <si>
    <t>Suất giữ đúng, tồn khả dụng đúng</t>
  </si>
  <si>
    <t>E2E-003</t>
  </si>
  <si>
    <t>2–5</t>
  </si>
  <si>
    <t>Kịch bản C – Bị trả về giữa chừng</t>
  </si>
  <si>
    <t>Admin trả yêu cầu đặt hàng → Sales sửa P&amp;L → duyệt lại → PO Team hủy 1 sản phẩm → P&amp;L mở lại → hoàn tất</t>
  </si>
  <si>
    <t>Lịch sử SO ghi đủ mọi lần trả về</t>
  </si>
  <si>
    <t>E2E-004</t>
  </si>
  <si>
    <t>4–5, 10</t>
  </si>
  <si>
    <t>Kịch bản D – Khách chưa trả tiền</t>
  </si>
  <si>
    <t>Đơn trên ngưỡng có đợt trước đặt hàng → PO bị khóa → BOD duyệt ngoại lệ → PO đi tiếp; đợt sau giao quá hạn</t>
  </si>
  <si>
    <t>PO mở sau ngoại lệ; đợt quá hạn hiện trong tuổi nợ</t>
  </si>
  <si>
    <t>E2E-005</t>
  </si>
  <si>
    <t>5–9</t>
  </si>
  <si>
    <t>Kịch bản E – Giao từng phần</t>
  </si>
  <si>
    <t>PO về 2 đợt, xuất kho 2 lần, xuất HĐ 2 lần</t>
  </si>
  <si>
    <t>Số lượng, công nợ, tồn kho khớp sau mỗi đợt</t>
  </si>
  <si>
    <t>E2E-006</t>
  </si>
  <si>
    <t>Kịch bản F – Hủy đơn</t>
  </si>
  <si>
    <t>Hủy SO trước khi hàng về; thử hủy SO sau khi đã thu tiền</t>
  </si>
  <si>
    <t>Trước hàng về: PO, phiếu xuất liên quan xử lý đúng. Đã thu tiền: bị chặn</t>
  </si>
  <si>
    <t>E2E-007</t>
  </si>
  <si>
    <t>9</t>
  </si>
  <si>
    <t>Kịch bản G – Sau bán</t>
  </si>
  <si>
    <t>Khách báo lỗi → Kỹ thuật tra S/N → mở ticket hậu mãi → đóng</t>
  </si>
  <si>
    <t>Tra thấy đúng đơn, còn bảo hành; ticket đóng được</t>
  </si>
  <si>
    <t>E2E-008</t>
  </si>
  <si>
    <t>Kiểm tra cuối kịch bản</t>
  </si>
  <si>
    <t>Sau mỗi kịch bản đối chiếu: Tồn kho, Công nợ khách hàng, Theo dõi hàng về, Báo cáo bán hàng và Dashboard</t>
  </si>
  <si>
    <t>Các màn hình khớp nhau và khớp chứng từ đã làm; dashboard cập nhật đúng doanh thu, margin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</si>
</sst>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6">
    <font>
      <sz val="11"/>
      <color theme="1"/>
      <name val="Calibri"/>
      <charset val="134"/>
      <scheme val="minor"/>
    </font>
    <font>
      <b/>
      <sz val="14"/>
      <color rgb="FF1F3864"/>
      <name val="Arial"/>
      <charset val="134"/>
    </font>
    <font>
      <i/>
      <sz val="10"/>
      <name val="Arial"/>
      <charset val="134"/>
    </font>
    <font>
      <sz val="10"/>
      <name val="Arial"/>
      <charset val="134"/>
    </font>
    <font>
      <b/>
      <sz val="10"/>
      <color rgb="FFFFFFFF"/>
      <name val="Arial"/>
      <charset val="134"/>
    </font>
    <font>
      <b/>
      <sz val="10"/>
      <color rgb="FF1F3864"/>
      <name val="Arial"/>
      <charset val="134"/>
    </font>
    <font>
      <b/>
      <sz val="12"/>
      <color rgb="FFFFFFFF"/>
      <name val="Arial"/>
      <charset val="134"/>
    </font>
    <font>
      <i/>
      <sz val="11"/>
      <name val="Arial"/>
      <charset val="134"/>
    </font>
    <font>
      <b/>
      <sz val="11"/>
      <color rgb="FF1F3864"/>
      <name val="Arial"/>
      <charset val="134"/>
    </font>
    <font>
      <b/>
      <sz val="11"/>
      <name val="Arial"/>
      <charset val="134"/>
    </font>
    <font>
      <sz val="11"/>
      <name val="Arial"/>
      <charset val="134"/>
    </font>
    <font>
      <b/>
      <sz val="11"/>
      <color rgb="FFFFFFFF"/>
      <name val="Arial"/>
      <charset val="134"/>
    </font>
    <font>
      <u/>
      <sz val="11"/>
      <color rgb="FF0563C1"/>
      <name val="Arial"/>
      <charset val="134"/>
    </font>
    <font>
      <b/>
      <sz val="16"/>
      <color rgb="FF1F3864"/>
      <name val="Arial"/>
      <charset val="134"/>
    </font>
    <font>
      <b/>
      <sz val="12"/>
      <color rgb="FF1F3864"/>
      <name val="Arial"/>
      <charset val="134"/>
    </font>
    <font>
      <b/>
      <sz val="1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3864"/>
        <bgColor indexed="64"/>
      </patternFill>
    </fill>
    <fill>
      <patternFill patternType="solid">
        <fgColor rgb="FFFFF9E5"/>
        <bgColor indexed="64"/>
      </patternFill>
    </fill>
    <fill>
      <patternFill patternType="solid">
        <fgColor rgb="FFF2F2F2"/>
        <bgColor indexed="64"/>
      </patternFill>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6" borderId="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 applyNumberFormat="0" applyFill="0" applyAlignment="0" applyProtection="0">
      <alignment vertical="center"/>
    </xf>
    <xf numFmtId="0" fontId="23" fillId="0" borderId="3" applyNumberFormat="0" applyFill="0" applyAlignment="0" applyProtection="0">
      <alignment vertical="center"/>
    </xf>
    <xf numFmtId="0" fontId="24" fillId="0" borderId="4" applyNumberFormat="0" applyFill="0" applyAlignment="0" applyProtection="0">
      <alignment vertical="center"/>
    </xf>
    <xf numFmtId="0" fontId="24" fillId="0" borderId="0" applyNumberFormat="0" applyFill="0" applyBorder="0" applyAlignment="0" applyProtection="0">
      <alignment vertical="center"/>
    </xf>
    <xf numFmtId="0" fontId="25" fillId="7" borderId="5" applyNumberFormat="0" applyAlignment="0" applyProtection="0">
      <alignment vertical="center"/>
    </xf>
    <xf numFmtId="0" fontId="26" fillId="8" borderId="6" applyNumberFormat="0" applyAlignment="0" applyProtection="0">
      <alignment vertical="center"/>
    </xf>
    <xf numFmtId="0" fontId="27" fillId="8" borderId="5" applyNumberFormat="0" applyAlignment="0" applyProtection="0">
      <alignment vertical="center"/>
    </xf>
    <xf numFmtId="0" fontId="28" fillId="9" borderId="7" applyNumberFormat="0" applyAlignment="0" applyProtection="0">
      <alignment vertical="center"/>
    </xf>
    <xf numFmtId="0" fontId="29" fillId="0" borderId="8" applyNumberFormat="0" applyFill="0" applyAlignment="0" applyProtection="0">
      <alignment vertical="center"/>
    </xf>
    <xf numFmtId="0" fontId="30" fillId="0" borderId="9" applyNumberFormat="0" applyFill="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cellStyleXfs>
  <cellXfs count="3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58"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vertical="top" wrapText="1"/>
    </xf>
    <xf numFmtId="0" fontId="5" fillId="5" borderId="0" xfId="0" applyFont="1" applyFill="1"/>
    <xf numFmtId="0" fontId="6" fillId="2" borderId="0" xfId="0" applyFont="1" applyFill="1"/>
    <xf numFmtId="0" fontId="7" fillId="0" borderId="0" xfId="0" applyFont="1" applyAlignment="1">
      <alignment vertical="top" wrapText="1"/>
    </xf>
    <xf numFmtId="0" fontId="0" fillId="0" borderId="0" xfId="0" applyFont="1"/>
    <xf numFmtId="0" fontId="8" fillId="5"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vertical="top" wrapText="1"/>
    </xf>
    <xf numFmtId="0" fontId="11" fillId="2"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0" fillId="0" borderId="1" xfId="0" applyFont="1" applyBorder="1" applyAlignment="1">
      <alignment horizontal="center" vertical="center" wrapText="1"/>
    </xf>
    <xf numFmtId="9" fontId="10" fillId="0" borderId="1" xfId="0" applyNumberFormat="1" applyFont="1" applyBorder="1" applyAlignment="1">
      <alignment horizontal="center" vertical="center" wrapText="1"/>
    </xf>
    <xf numFmtId="0" fontId="10" fillId="3" borderId="1" xfId="0" applyFont="1" applyFill="1" applyBorder="1" applyAlignment="1">
      <alignment horizontal="center" vertical="center" wrapText="1"/>
    </xf>
    <xf numFmtId="58" fontId="10" fillId="3" borderId="1" xfId="0" applyNumberFormat="1" applyFont="1" applyFill="1" applyBorder="1" applyAlignment="1">
      <alignment horizontal="center" vertical="center" wrapText="1"/>
    </xf>
    <xf numFmtId="0" fontId="10" fillId="3" borderId="1" xfId="0" applyFont="1" applyFill="1" applyBorder="1" applyAlignment="1">
      <alignment vertical="top" wrapText="1"/>
    </xf>
    <xf numFmtId="0" fontId="9" fillId="5" borderId="1" xfId="0" applyFont="1" applyFill="1" applyBorder="1" applyAlignment="1">
      <alignment vertical="top" wrapText="1"/>
    </xf>
    <xf numFmtId="0" fontId="9" fillId="5" borderId="1" xfId="0" applyFont="1" applyFill="1" applyBorder="1" applyAlignment="1">
      <alignment horizontal="center" vertical="center" wrapText="1"/>
    </xf>
    <xf numFmtId="9" fontId="9" fillId="5" borderId="1" xfId="0" applyNumberFormat="1" applyFont="1" applyFill="1" applyBorder="1" applyAlignment="1">
      <alignment horizontal="center" vertical="center" wrapText="1"/>
    </xf>
    <xf numFmtId="0" fontId="9" fillId="0" borderId="0" xfId="0" applyFont="1"/>
    <xf numFmtId="0" fontId="10" fillId="0" borderId="0" xfId="0" applyFont="1"/>
    <xf numFmtId="0" fontId="13" fillId="0" borderId="0" xfId="0" applyFont="1"/>
    <xf numFmtId="0" fontId="14" fillId="0" borderId="0" xfId="0" applyFont="1"/>
    <xf numFmtId="0" fontId="15" fillId="0" borderId="0" xfId="0" applyFont="1" applyAlignment="1">
      <alignment vertical="top" wrapText="1"/>
    </xf>
    <xf numFmtId="0" fontId="15" fillId="3"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8">
    <dxf>
      <font>
        <name val="Arial"/>
        <scheme val="none"/>
        <b val="1"/>
        <color rgb="FFC00000"/>
      </font>
    </dxf>
    <dxf>
      <fill>
        <patternFill patternType="solid">
          <fgColor rgb="FFC6EFCE"/>
        </patternFill>
      </fill>
    </dxf>
    <dxf>
      <fill>
        <patternFill patternType="solid">
          <fgColor rgb="FFFFC7CE"/>
        </patternFill>
      </fill>
    </dxf>
    <dxf>
      <fill>
        <patternFill patternType="solid">
          <fgColor rgb="FFFFEB9C"/>
        </patternFill>
      </fill>
    </dxf>
    <dxf>
      <font>
        <name val="Arial"/>
        <scheme val="none"/>
        <b val="1"/>
        <color rgb="FF006100"/>
      </font>
      <fill>
        <patternFill patternType="solid">
          <fgColor rgb="FFC6EFCE"/>
        </patternFill>
      </fill>
    </dxf>
    <dxf>
      <font>
        <name val="Arial"/>
        <scheme val="none"/>
        <b val="1"/>
        <color rgb="FF9C0006"/>
      </font>
      <fill>
        <patternFill patternType="solid">
          <fgColor rgb="FFFFC7CE"/>
        </patternFill>
      </fill>
    </dxf>
    <dxf>
      <font>
        <name val="Arial"/>
        <scheme val="none"/>
        <b val="1"/>
        <color rgb="FF833C0B"/>
      </font>
      <fill>
        <patternFill patternType="solid">
          <fgColor rgb="FFFCE4D6"/>
        </patternFill>
      </fill>
    </dxf>
    <dxf>
      <fill>
        <patternFill patternType="solid">
          <fgColor rgb="FFFF7C8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8" Type="http://schemas.openxmlformats.org/officeDocument/2006/relationships/hyperlink" Target="#'8. Li&#234;n ph&#242;ng ban'!A1" TargetMode="External"/><Relationship Id="rId7" Type="http://schemas.openxmlformats.org/officeDocument/2006/relationships/hyperlink" Target="#'7. BOD - Qu&#7843;n tr&#7883;'!A1" TargetMode="External"/><Relationship Id="rId6" Type="http://schemas.openxmlformats.org/officeDocument/2006/relationships/hyperlink" Target="#'6. Marketing'!A1" TargetMode="External"/><Relationship Id="rId5" Type="http://schemas.openxmlformats.org/officeDocument/2006/relationships/hyperlink" Target="#'5. K&#7929; thu&#7853;t'!A1" TargetMode="External"/><Relationship Id="rId4" Type="http://schemas.openxmlformats.org/officeDocument/2006/relationships/hyperlink" Target="#'4. K&#7871; to&#225;n'!A1" TargetMode="External"/><Relationship Id="rId3" Type="http://schemas.openxmlformats.org/officeDocument/2006/relationships/hyperlink" Target="#'3. Kho'!A1" TargetMode="External"/><Relationship Id="rId2" Type="http://schemas.openxmlformats.org/officeDocument/2006/relationships/hyperlink" Target="#'2. Mua h&#224;ng'!A1" TargetMode="External"/><Relationship Id="rId1" Type="http://schemas.openxmlformats.org/officeDocument/2006/relationships/hyperlink" Target="#'1. Sale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Workflow'!A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Workflow'!A1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Workflow'!A3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Workflow'!A4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Workflow'!A5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Workflow'!A6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Workflow'!A6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Workflow'!A7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7"/>
  <sheetViews>
    <sheetView showGridLines="0" workbookViewId="0">
      <pane ySplit="3" topLeftCell="A13" activePane="bottomLeft" state="frozen"/>
      <selection/>
      <selection pane="bottomLeft" activeCell="A1" sqref="A1"/>
    </sheetView>
  </sheetViews>
  <sheetFormatPr defaultColWidth="9" defaultRowHeight="14.4" outlineLevelCol="1"/>
  <cols>
    <col min="1" max="1" width="26" customWidth="1"/>
    <col min="2" max="2" width="100" customWidth="1"/>
  </cols>
  <sheetData>
    <row r="1" ht="21" spans="1:2">
      <c r="A1" s="31" t="s">
        <v>0</v>
      </c>
    </row>
    <row r="2" spans="1:2">
      <c r="A2" s="2" t="s">
        <v>1</v>
      </c>
    </row>
    <row r="4" ht="15.6" spans="1:2">
      <c r="A4" s="32" t="s">
        <v>2</v>
      </c>
    </row>
    <row r="5" spans="1:2">
      <c r="A5" s="33" t="s">
        <v>3</v>
      </c>
      <c r="B5" s="3" t="s">
        <v>4</v>
      </c>
    </row>
    <row r="6" ht="26.4" spans="1:2">
      <c r="A6" s="33" t="s">
        <v>5</v>
      </c>
      <c r="B6" s="3" t="s">
        <v>6</v>
      </c>
    </row>
    <row r="7" spans="1:2">
      <c r="A7" s="33" t="s">
        <v>7</v>
      </c>
      <c r="B7" s="3" t="s">
        <v>8</v>
      </c>
    </row>
    <row r="8" spans="1:2">
      <c r="A8" s="33" t="s">
        <v>9</v>
      </c>
      <c r="B8" s="3" t="s">
        <v>10</v>
      </c>
    </row>
    <row r="10" ht="15.6" spans="1:2">
      <c r="A10" s="32" t="s">
        <v>11</v>
      </c>
    </row>
    <row r="11" spans="1:2">
      <c r="A11" s="33" t="s">
        <v>12</v>
      </c>
      <c r="B11" s="3" t="s">
        <v>13</v>
      </c>
    </row>
    <row r="12" ht="79.2" spans="1:2">
      <c r="A12" s="33" t="s">
        <v>14</v>
      </c>
      <c r="B12" s="3" t="s">
        <v>15</v>
      </c>
    </row>
    <row r="13" ht="26.4" spans="1:2">
      <c r="A13" s="33" t="s">
        <v>16</v>
      </c>
      <c r="B13" s="3" t="s">
        <v>17</v>
      </c>
    </row>
    <row r="14" ht="52.8" spans="1:2">
      <c r="A14" s="33" t="s">
        <v>18</v>
      </c>
      <c r="B14" s="3" t="s">
        <v>19</v>
      </c>
    </row>
    <row r="15" spans="1:2">
      <c r="A15" s="33" t="s">
        <v>20</v>
      </c>
      <c r="B15" s="3" t="s">
        <v>21</v>
      </c>
    </row>
    <row r="16" ht="26.4" spans="1:2">
      <c r="A16" s="33" t="s">
        <v>22</v>
      </c>
      <c r="B16" s="3" t="s">
        <v>23</v>
      </c>
    </row>
    <row r="17" spans="1:2">
      <c r="A17" s="33" t="s">
        <v>24</v>
      </c>
      <c r="B17" s="3" t="s">
        <v>25</v>
      </c>
    </row>
    <row r="19" ht="15.6" spans="1:2">
      <c r="A19" s="32" t="s">
        <v>26</v>
      </c>
    </row>
    <row r="20" spans="1:2">
      <c r="A20" s="34" t="s">
        <v>27</v>
      </c>
      <c r="B20" s="7" t="s">
        <v>28</v>
      </c>
    </row>
    <row r="21" spans="1:2">
      <c r="A21" s="34" t="s">
        <v>29</v>
      </c>
      <c r="B21" s="7" t="s">
        <v>30</v>
      </c>
    </row>
    <row r="22" spans="1:2">
      <c r="A22" s="34" t="s">
        <v>31</v>
      </c>
      <c r="B22" s="7" t="s">
        <v>32</v>
      </c>
    </row>
    <row r="23" spans="1:2">
      <c r="A23" s="34" t="s">
        <v>14</v>
      </c>
      <c r="B23" s="7" t="s">
        <v>33</v>
      </c>
    </row>
    <row r="24" ht="26.4" spans="1:2">
      <c r="A24" s="34" t="s">
        <v>16</v>
      </c>
      <c r="B24" s="7" t="s">
        <v>34</v>
      </c>
    </row>
    <row r="25" spans="1:2">
      <c r="A25" s="34" t="s">
        <v>18</v>
      </c>
      <c r="B25" s="7" t="s">
        <v>35</v>
      </c>
    </row>
    <row r="26" spans="1:2">
      <c r="A26" s="34" t="s">
        <v>20</v>
      </c>
      <c r="B26" s="7" t="s">
        <v>36</v>
      </c>
    </row>
    <row r="28" ht="15.6" spans="1:2">
      <c r="A28" s="32" t="s">
        <v>37</v>
      </c>
    </row>
    <row r="29" spans="1:2">
      <c r="A29" s="33" t="s">
        <v>38</v>
      </c>
      <c r="B29" s="3" t="s">
        <v>39</v>
      </c>
    </row>
    <row r="30" spans="1:2">
      <c r="A30" s="33" t="s">
        <v>40</v>
      </c>
      <c r="B30" s="3" t="s">
        <v>41</v>
      </c>
    </row>
    <row r="31" spans="1:2">
      <c r="A31" s="33" t="s">
        <v>42</v>
      </c>
      <c r="B31" s="3" t="s">
        <v>43</v>
      </c>
    </row>
    <row r="32" spans="1:2">
      <c r="A32" s="33" t="s">
        <v>44</v>
      </c>
      <c r="B32" s="3" t="s">
        <v>45</v>
      </c>
    </row>
    <row r="34" ht="15.6" spans="1:2">
      <c r="A34" s="32" t="s">
        <v>46</v>
      </c>
    </row>
    <row r="35" ht="39.6" spans="1:2">
      <c r="A35" s="33" t="s">
        <v>47</v>
      </c>
      <c r="B35" s="3" t="s">
        <v>48</v>
      </c>
    </row>
    <row r="36" ht="26.4" spans="1:2">
      <c r="A36" s="33" t="s">
        <v>49</v>
      </c>
      <c r="B36" s="3" t="s">
        <v>50</v>
      </c>
    </row>
    <row r="37" ht="26.4" spans="1:2">
      <c r="A37" s="33" t="s">
        <v>51</v>
      </c>
      <c r="B37" s="3" t="s">
        <v>52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7"/>
  <sheetViews>
    <sheetView showGridLines="0" tabSelected="1" workbookViewId="0">
      <pane xSplit="1" ySplit="3" topLeftCell="B4" activePane="bottomRight" state="frozen"/>
      <selection/>
      <selection pane="topRight"/>
      <selection pane="bottomLeft"/>
      <selection pane="bottomRight" activeCell="A12" sqref="A12:O17"/>
    </sheetView>
  </sheetViews>
  <sheetFormatPr defaultColWidth="9" defaultRowHeight="14.4"/>
  <cols>
    <col min="1" max="1" width="30" customWidth="1"/>
    <col min="2" max="2" width="20" customWidth="1"/>
    <col min="3" max="4" width="9" customWidth="1"/>
    <col min="5" max="5" width="11" customWidth="1"/>
    <col min="6" max="6" width="9" customWidth="1"/>
    <col min="7" max="8" width="10" customWidth="1"/>
    <col min="9" max="10" width="12" customWidth="1"/>
    <col min="11" max="11" width="9" customWidth="1"/>
    <col min="12" max="12" width="24" customWidth="1"/>
    <col min="13" max="13" width="12" customWidth="1"/>
    <col min="14" max="14" width="20" customWidth="1"/>
    <col min="15" max="15" width="36" customWidth="1"/>
  </cols>
  <sheetData>
    <row r="1" ht="17.4" spans="1:15">
      <c r="A1" s="1" t="s">
        <v>53</v>
      </c>
    </row>
    <row r="3" ht="36" customHeight="1" spans="1:15">
      <c r="A3" s="19" t="s">
        <v>54</v>
      </c>
      <c r="B3" s="19" t="s">
        <v>55</v>
      </c>
      <c r="C3" s="19" t="s">
        <v>56</v>
      </c>
      <c r="D3" s="19" t="s">
        <v>57</v>
      </c>
      <c r="E3" s="19" t="s">
        <v>33</v>
      </c>
      <c r="F3" s="19" t="s">
        <v>58</v>
      </c>
      <c r="G3" s="19" t="s">
        <v>59</v>
      </c>
      <c r="H3" s="19" t="s">
        <v>60</v>
      </c>
      <c r="I3" s="19" t="s">
        <v>61</v>
      </c>
      <c r="J3" s="19" t="s">
        <v>62</v>
      </c>
      <c r="K3" s="19" t="s">
        <v>63</v>
      </c>
      <c r="L3" s="19" t="s">
        <v>64</v>
      </c>
      <c r="M3" s="19" t="s">
        <v>65</v>
      </c>
      <c r="N3" s="19" t="s">
        <v>66</v>
      </c>
      <c r="O3" s="19" t="s">
        <v>67</v>
      </c>
    </row>
    <row r="4" spans="1:15">
      <c r="A4" s="18" t="s">
        <v>68</v>
      </c>
      <c r="B4" s="20" t="s">
        <v>69</v>
      </c>
      <c r="C4" s="21">
        <f>COUNTIF('1. Sales'!$A$6:$A$600,"SAL-*")</f>
        <v>98</v>
      </c>
      <c r="D4" s="21">
        <f>COUNTIF('1. Sales'!$I$6:$I$600,"Đạt")</f>
        <v>0</v>
      </c>
      <c r="E4" s="21">
        <f>COUNTIF('1. Sales'!$I$6:$I$600,"Không đạt")</f>
        <v>0</v>
      </c>
      <c r="F4" s="21">
        <f>COUNTIF('1. Sales'!$I$6:$I$600,"Bị chặn")</f>
        <v>0</v>
      </c>
      <c r="G4" s="21">
        <f t="shared" ref="G4:G11" si="0">C4-D4-E4-F4</f>
        <v>98</v>
      </c>
      <c r="H4" s="22">
        <f t="shared" ref="H4:H12" si="1">IF(C4=0,0,(D4+E4+F4)/C4)</f>
        <v>0</v>
      </c>
      <c r="I4" s="22">
        <f t="shared" ref="I4:I12" si="2">IF(D4+E4=0,0,D4/(D4+E4))</f>
        <v>0</v>
      </c>
      <c r="J4" s="21">
        <f>COUNTIFS('1. Sales'!$I$6:$I$600,"Không đạt",'1. Sales'!$K$6:$K$600,"Nghiêm trọng")</f>
        <v>0</v>
      </c>
      <c r="K4" s="21">
        <f>COUNTIFS('1. Sales'!$I$6:$I$600,"Không đạt",'1. Sales'!$K$6:$K$600,"Cao")</f>
        <v>0</v>
      </c>
      <c r="L4" s="23"/>
      <c r="M4" s="24"/>
      <c r="N4" s="23"/>
      <c r="O4" s="25"/>
    </row>
    <row r="5" spans="1:15">
      <c r="A5" s="18" t="s">
        <v>70</v>
      </c>
      <c r="B5" s="20" t="s">
        <v>71</v>
      </c>
      <c r="C5" s="21">
        <f>COUNTIF('2. Mua hàng'!$A$6:$A$600,"PUR-*")</f>
        <v>43</v>
      </c>
      <c r="D5" s="21">
        <f>COUNTIF('2. Mua hàng'!$I$6:$I$600,"Đạt")</f>
        <v>0</v>
      </c>
      <c r="E5" s="21">
        <f>COUNTIF('2. Mua hàng'!$I$6:$I$600,"Không đạt")</f>
        <v>0</v>
      </c>
      <c r="F5" s="21">
        <f>COUNTIF('2. Mua hàng'!$I$6:$I$600,"Bị chặn")</f>
        <v>0</v>
      </c>
      <c r="G5" s="21">
        <f t="shared" si="0"/>
        <v>43</v>
      </c>
      <c r="H5" s="22">
        <f t="shared" si="1"/>
        <v>0</v>
      </c>
      <c r="I5" s="22">
        <f t="shared" si="2"/>
        <v>0</v>
      </c>
      <c r="J5" s="21">
        <f>COUNTIFS('2. Mua hàng'!$I$6:$I$600,"Không đạt",'2. Mua hàng'!$K$6:$K$600,"Nghiêm trọng")</f>
        <v>0</v>
      </c>
      <c r="K5" s="21">
        <f>COUNTIFS('2. Mua hàng'!$I$6:$I$600,"Không đạt",'2. Mua hàng'!$K$6:$K$600,"Cao")</f>
        <v>0</v>
      </c>
      <c r="L5" s="23"/>
      <c r="M5" s="24"/>
      <c r="N5" s="23"/>
      <c r="O5" s="25"/>
    </row>
    <row r="6" spans="1:15">
      <c r="A6" s="18" t="s">
        <v>72</v>
      </c>
      <c r="B6" s="20" t="s">
        <v>73</v>
      </c>
      <c r="C6" s="21">
        <f>COUNTIF('3. Kho'!$A$6:$A$600,"WH-*")</f>
        <v>58</v>
      </c>
      <c r="D6" s="21">
        <f>COUNTIF('3. Kho'!$I$6:$I$600,"Đạt")</f>
        <v>0</v>
      </c>
      <c r="E6" s="21">
        <f>COUNTIF('3. Kho'!$I$6:$I$600,"Không đạt")</f>
        <v>0</v>
      </c>
      <c r="F6" s="21">
        <f>COUNTIF('3. Kho'!$I$6:$I$600,"Bị chặn")</f>
        <v>0</v>
      </c>
      <c r="G6" s="21">
        <f t="shared" si="0"/>
        <v>58</v>
      </c>
      <c r="H6" s="22">
        <f t="shared" si="1"/>
        <v>0</v>
      </c>
      <c r="I6" s="22">
        <f t="shared" si="2"/>
        <v>0</v>
      </c>
      <c r="J6" s="21">
        <f>COUNTIFS('3. Kho'!$I$6:$I$600,"Không đạt",'3. Kho'!$K$6:$K$600,"Nghiêm trọng")</f>
        <v>0</v>
      </c>
      <c r="K6" s="21">
        <f>COUNTIFS('3. Kho'!$I$6:$I$600,"Không đạt",'3. Kho'!$K$6:$K$600,"Cao")</f>
        <v>0</v>
      </c>
      <c r="L6" s="23"/>
      <c r="M6" s="24"/>
      <c r="N6" s="23"/>
      <c r="O6" s="25"/>
    </row>
    <row r="7" spans="1:15">
      <c r="A7" s="18" t="s">
        <v>74</v>
      </c>
      <c r="B7" s="20" t="s">
        <v>75</v>
      </c>
      <c r="C7" s="21">
        <f>COUNTIF('4. Kế toán'!$A$6:$A$600,"ACC-*")</f>
        <v>28</v>
      </c>
      <c r="D7" s="21">
        <f>COUNTIF('4. Kế toán'!$I$6:$I$600,"Đạt")</f>
        <v>0</v>
      </c>
      <c r="E7" s="21">
        <f>COUNTIF('4. Kế toán'!$I$6:$I$600,"Không đạt")</f>
        <v>0</v>
      </c>
      <c r="F7" s="21">
        <f>COUNTIF('4. Kế toán'!$I$6:$I$600,"Bị chặn")</f>
        <v>0</v>
      </c>
      <c r="G7" s="21">
        <f t="shared" si="0"/>
        <v>28</v>
      </c>
      <c r="H7" s="22">
        <f t="shared" si="1"/>
        <v>0</v>
      </c>
      <c r="I7" s="22">
        <f t="shared" si="2"/>
        <v>0</v>
      </c>
      <c r="J7" s="21">
        <f>COUNTIFS('4. Kế toán'!$I$6:$I$600,"Không đạt",'4. Kế toán'!$K$6:$K$600,"Nghiêm trọng")</f>
        <v>0</v>
      </c>
      <c r="K7" s="21">
        <f>COUNTIFS('4. Kế toán'!$I$6:$I$600,"Không đạt",'4. Kế toán'!$K$6:$K$600,"Cao")</f>
        <v>0</v>
      </c>
      <c r="L7" s="23"/>
      <c r="M7" s="24"/>
      <c r="N7" s="23"/>
      <c r="O7" s="25"/>
    </row>
    <row r="8" spans="1:15">
      <c r="A8" s="18" t="s">
        <v>76</v>
      </c>
      <c r="B8" s="20" t="s">
        <v>77</v>
      </c>
      <c r="C8" s="21">
        <f>COUNTIF('5. Kỹ thuật'!$A$6:$A$600,"TEC-*")</f>
        <v>28</v>
      </c>
      <c r="D8" s="21">
        <f>COUNTIF('5. Kỹ thuật'!$I$6:$I$600,"Đạt")</f>
        <v>0</v>
      </c>
      <c r="E8" s="21">
        <f>COUNTIF('5. Kỹ thuật'!$I$6:$I$600,"Không đạt")</f>
        <v>0</v>
      </c>
      <c r="F8" s="21">
        <f>COUNTIF('5. Kỹ thuật'!$I$6:$I$600,"Bị chặn")</f>
        <v>0</v>
      </c>
      <c r="G8" s="21">
        <f t="shared" si="0"/>
        <v>28</v>
      </c>
      <c r="H8" s="22">
        <f t="shared" si="1"/>
        <v>0</v>
      </c>
      <c r="I8" s="22">
        <f t="shared" si="2"/>
        <v>0</v>
      </c>
      <c r="J8" s="21">
        <f>COUNTIFS('5. Kỹ thuật'!$I$6:$I$600,"Không đạt",'5. Kỹ thuật'!$K$6:$K$600,"Nghiêm trọng")</f>
        <v>0</v>
      </c>
      <c r="K8" s="21">
        <f>COUNTIFS('5. Kỹ thuật'!$I$6:$I$600,"Không đạt",'5. Kỹ thuật'!$K$6:$K$600,"Cao")</f>
        <v>0</v>
      </c>
      <c r="L8" s="23"/>
      <c r="M8" s="24"/>
      <c r="N8" s="23"/>
      <c r="O8" s="25"/>
    </row>
    <row r="9" spans="1:15">
      <c r="A9" s="18" t="s">
        <v>78</v>
      </c>
      <c r="B9" s="20" t="s">
        <v>79</v>
      </c>
      <c r="C9" s="21">
        <f>COUNTIF('6. Marketing'!$A$6:$A$600,"MKT-*")</f>
        <v>23</v>
      </c>
      <c r="D9" s="21">
        <f>COUNTIF('6. Marketing'!$I$6:$I$600,"Đạt")</f>
        <v>0</v>
      </c>
      <c r="E9" s="21">
        <f>COUNTIF('6. Marketing'!$I$6:$I$600,"Không đạt")</f>
        <v>0</v>
      </c>
      <c r="F9" s="21">
        <f>COUNTIF('6. Marketing'!$I$6:$I$600,"Bị chặn")</f>
        <v>0</v>
      </c>
      <c r="G9" s="21">
        <f t="shared" si="0"/>
        <v>23</v>
      </c>
      <c r="H9" s="22">
        <f t="shared" si="1"/>
        <v>0</v>
      </c>
      <c r="I9" s="22">
        <f t="shared" si="2"/>
        <v>0</v>
      </c>
      <c r="J9" s="21">
        <f>COUNTIFS('6. Marketing'!$I$6:$I$600,"Không đạt",'6. Marketing'!$K$6:$K$600,"Nghiêm trọng")</f>
        <v>0</v>
      </c>
      <c r="K9" s="21">
        <f>COUNTIFS('6. Marketing'!$I$6:$I$600,"Không đạt",'6. Marketing'!$K$6:$K$600,"Cao")</f>
        <v>0</v>
      </c>
      <c r="L9" s="23"/>
      <c r="M9" s="24"/>
      <c r="N9" s="23"/>
      <c r="O9" s="25"/>
    </row>
    <row r="10" spans="1:15">
      <c r="A10" s="18" t="s">
        <v>80</v>
      </c>
      <c r="B10" s="20" t="s">
        <v>81</v>
      </c>
      <c r="C10" s="21">
        <f>COUNTIF('7. BOD - Quản trị'!$A$6:$A$600,"ADM-*")</f>
        <v>30</v>
      </c>
      <c r="D10" s="21">
        <f>COUNTIF('7. BOD - Quản trị'!$I$6:$I$600,"Đạt")</f>
        <v>0</v>
      </c>
      <c r="E10" s="21">
        <f>COUNTIF('7. BOD - Quản trị'!$I$6:$I$600,"Không đạt")</f>
        <v>0</v>
      </c>
      <c r="F10" s="21">
        <f>COUNTIF('7. BOD - Quản trị'!$I$6:$I$600,"Bị chặn")</f>
        <v>0</v>
      </c>
      <c r="G10" s="21">
        <f t="shared" si="0"/>
        <v>30</v>
      </c>
      <c r="H10" s="22">
        <f t="shared" si="1"/>
        <v>0</v>
      </c>
      <c r="I10" s="22">
        <f t="shared" si="2"/>
        <v>0</v>
      </c>
      <c r="J10" s="21">
        <f>COUNTIFS('7. BOD - Quản trị'!$I$6:$I$600,"Không đạt",'7. BOD - Quản trị'!$K$6:$K$600,"Nghiêm trọng")</f>
        <v>0</v>
      </c>
      <c r="K10" s="21">
        <f>COUNTIFS('7. BOD - Quản trị'!$I$6:$I$600,"Không đạt",'7. BOD - Quản trị'!$K$6:$K$600,"Cao")</f>
        <v>0</v>
      </c>
      <c r="L10" s="23"/>
      <c r="M10" s="24"/>
      <c r="N10" s="23"/>
      <c r="O10" s="25"/>
    </row>
    <row r="11" spans="1:15">
      <c r="A11" s="18" t="s">
        <v>82</v>
      </c>
      <c r="B11" s="20" t="s">
        <v>83</v>
      </c>
      <c r="C11" s="21">
        <f>COUNTIF('8. Liên phòng ban'!$A$6:$A$600,"E2E-*")</f>
        <v>8</v>
      </c>
      <c r="D11" s="21">
        <f>COUNTIF('8. Liên phòng ban'!$I$6:$I$600,"Đạt")</f>
        <v>0</v>
      </c>
      <c r="E11" s="21">
        <f>COUNTIF('8. Liên phòng ban'!$I$6:$I$600,"Không đạt")</f>
        <v>0</v>
      </c>
      <c r="F11" s="21">
        <f>COUNTIF('8. Liên phòng ban'!$I$6:$I$600,"Bị chặn")</f>
        <v>0</v>
      </c>
      <c r="G11" s="21">
        <f t="shared" si="0"/>
        <v>8</v>
      </c>
      <c r="H11" s="22">
        <f t="shared" si="1"/>
        <v>0</v>
      </c>
      <c r="I11" s="22">
        <f t="shared" si="2"/>
        <v>0</v>
      </c>
      <c r="J11" s="21">
        <f>COUNTIFS('8. Liên phòng ban'!$I$6:$I$600,"Không đạt",'8. Liên phòng ban'!$K$6:$K$600,"Nghiêm trọng")</f>
        <v>0</v>
      </c>
      <c r="K11" s="21">
        <f>COUNTIFS('8. Liên phòng ban'!$I$6:$I$600,"Không đạt",'8. Liên phòng ban'!$K$6:$K$600,"Cao")</f>
        <v>0</v>
      </c>
      <c r="L11" s="23"/>
      <c r="M11" s="24"/>
      <c r="N11" s="23"/>
      <c r="O11" s="25"/>
    </row>
    <row r="12" spans="1:15">
      <c r="A12" s="26" t="s">
        <v>84</v>
      </c>
      <c r="B12" s="27"/>
      <c r="C12" s="27">
        <f>SUM(C4:C11)</f>
        <v>316</v>
      </c>
      <c r="D12" s="27">
        <f>SUM(D4:D11)</f>
        <v>0</v>
      </c>
      <c r="E12" s="27">
        <f>SUM(E4:E11)</f>
        <v>0</v>
      </c>
      <c r="F12" s="27">
        <f>SUM(F4:F11)</f>
        <v>0</v>
      </c>
      <c r="G12" s="27">
        <f>SUM(G4:G11)</f>
        <v>316</v>
      </c>
      <c r="H12" s="28">
        <f t="shared" si="1"/>
        <v>0</v>
      </c>
      <c r="I12" s="28">
        <f t="shared" si="2"/>
        <v>0</v>
      </c>
      <c r="J12" s="27">
        <f>SUM(J4:J11)</f>
        <v>0</v>
      </c>
      <c r="K12" s="27">
        <f>SUM(K4:K11)</f>
        <v>0</v>
      </c>
      <c r="L12" s="27"/>
      <c r="M12" s="27"/>
      <c r="N12" s="27"/>
      <c r="O12" s="27"/>
    </row>
    <row r="13" spans="1:15">
      <c r="A13" s="15"/>
      <c r="B13" s="15"/>
      <c r="C13" s="15"/>
      <c r="D13" s="15"/>
      <c r="E13" s="15"/>
      <c r="F13" s="15"/>
      <c r="G13" s="15"/>
      <c r="H13" s="15"/>
      <c r="I13" s="15"/>
      <c r="J13" s="15"/>
      <c r="K13" s="15"/>
      <c r="L13" s="15"/>
      <c r="M13" s="15"/>
      <c r="N13" s="15"/>
      <c r="O13" s="15"/>
    </row>
    <row r="14" spans="1:15">
      <c r="A14" s="29" t="s">
        <v>85</v>
      </c>
      <c r="B14" s="15"/>
      <c r="C14" s="15"/>
      <c r="D14" s="15"/>
      <c r="E14" s="15"/>
      <c r="F14" s="15"/>
      <c r="G14" s="15"/>
      <c r="H14" s="15"/>
      <c r="I14" s="15"/>
      <c r="J14" s="15"/>
      <c r="K14" s="15"/>
      <c r="L14" s="15"/>
      <c r="M14" s="15"/>
      <c r="N14" s="15"/>
      <c r="O14" s="15"/>
    </row>
    <row r="15" spans="1:15">
      <c r="A15" s="30" t="s">
        <v>86</v>
      </c>
      <c r="B15" s="15"/>
      <c r="C15" s="15"/>
      <c r="D15" s="15"/>
      <c r="E15" s="15"/>
      <c r="F15" s="15"/>
      <c r="G15" s="15"/>
      <c r="H15" s="15"/>
      <c r="I15" s="15"/>
      <c r="J15" s="15"/>
      <c r="K15" s="15"/>
      <c r="L15" s="15"/>
      <c r="M15" s="15"/>
      <c r="N15" s="15"/>
      <c r="O15" s="15"/>
    </row>
    <row r="16" spans="1:15">
      <c r="A16" s="30" t="s">
        <v>87</v>
      </c>
      <c r="B16" s="15"/>
      <c r="C16" s="15"/>
      <c r="D16" s="15"/>
      <c r="E16" s="15"/>
      <c r="F16" s="15"/>
      <c r="G16" s="15"/>
      <c r="H16" s="15"/>
      <c r="I16" s="15"/>
      <c r="J16" s="15"/>
      <c r="K16" s="15"/>
      <c r="L16" s="15"/>
      <c r="M16" s="15"/>
      <c r="N16" s="15"/>
      <c r="O16" s="15"/>
    </row>
    <row r="17" spans="1:15">
      <c r="A17" s="30" t="s">
        <v>88</v>
      </c>
      <c r="B17" s="15"/>
      <c r="C17" s="15"/>
      <c r="D17" s="15"/>
      <c r="E17" s="15"/>
      <c r="F17" s="15"/>
      <c r="G17" s="15"/>
      <c r="H17" s="15"/>
      <c r="I17" s="15"/>
      <c r="J17" s="15"/>
      <c r="K17" s="15"/>
      <c r="L17" s="15"/>
      <c r="M17" s="15"/>
      <c r="N17" s="15"/>
      <c r="O17" s="15"/>
    </row>
  </sheetData>
  <mergeCells count="1">
    <mergeCell ref="A1:O1"/>
  </mergeCells>
  <conditionalFormatting sqref="J4:J11">
    <cfRule type="expression" dxfId="0" priority="4">
      <formula>$J4&gt;0</formula>
    </cfRule>
  </conditionalFormatting>
  <conditionalFormatting sqref="N4:N11">
    <cfRule type="expression" dxfId="1" priority="1">
      <formula>$N4="Đạt"</formula>
    </cfRule>
    <cfRule type="expression" dxfId="2" priority="2">
      <formula>$N4="Không đạt"</formula>
    </cfRule>
    <cfRule type="expression" dxfId="3" priority="3">
      <formula>$N4="Đạt có điều kiện"</formula>
    </cfRule>
  </conditionalFormatting>
  <dataValidations count="1">
    <dataValidation type="list" allowBlank="1" sqref="N4:N11">
      <formula1>"Đạt,Đạt có điều kiện,Không đạt"</formula1>
    </dataValidation>
  </dataValidations>
  <hyperlinks>
    <hyperlink ref="B4" r:id="rId1" display="1. Sales"/>
    <hyperlink ref="B5" r:id="rId2" display="2. Mua hàng"/>
    <hyperlink ref="B6" r:id="rId3" display="3. Kho"/>
    <hyperlink ref="B7" r:id="rId4" display="4. Kế toán"/>
    <hyperlink ref="B8" r:id="rId5" display="5. Kỹ thuật"/>
    <hyperlink ref="B9" r:id="rId6" display="6. Marketing"/>
    <hyperlink ref="B10" r:id="rId7" display="7. BOD - Quản trị"/>
    <hyperlink ref="B11" r:id="rId8" display="8. Liên phòng ban"/>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9"/>
  <sheetViews>
    <sheetView zoomScale="90" zoomScaleNormal="90" workbookViewId="0">
      <pane ySplit="2" topLeftCell="A68" activePane="bottomLeft" state="frozen"/>
      <selection/>
      <selection pane="bottomLeft" activeCell="A78" sqref="A78:E89"/>
    </sheetView>
  </sheetViews>
  <sheetFormatPr defaultColWidth="9" defaultRowHeight="14.4" outlineLevelCol="4"/>
  <cols>
    <col min="1" max="1" width="8" customWidth="1"/>
    <col min="2" max="2" width="26" customWidth="1"/>
    <col min="3" max="3" width="34" customWidth="1"/>
    <col min="4" max="5" width="52" customWidth="1"/>
  </cols>
  <sheetData>
    <row r="1" ht="17.4" spans="1:5">
      <c r="A1" s="1" t="s">
        <v>89</v>
      </c>
    </row>
    <row r="3" ht="20" customHeight="1" spans="1:5">
      <c r="A3" s="13" t="s">
        <v>90</v>
      </c>
    </row>
    <row r="4" ht="44" customHeight="1" spans="1:5">
      <c r="A4" s="14" t="s">
        <v>91</v>
      </c>
      <c r="B4" s="15"/>
      <c r="C4" s="15"/>
      <c r="D4" s="15"/>
      <c r="E4" s="15"/>
    </row>
    <row r="5" spans="1:5">
      <c r="A5" s="16" t="s">
        <v>92</v>
      </c>
      <c r="B5" s="16" t="s">
        <v>93</v>
      </c>
      <c r="C5" s="16" t="s">
        <v>94</v>
      </c>
      <c r="D5" s="16" t="s">
        <v>95</v>
      </c>
      <c r="E5" s="16" t="s">
        <v>96</v>
      </c>
    </row>
    <row r="6" ht="41.4" spans="1:5">
      <c r="A6" s="17">
        <v>1</v>
      </c>
      <c r="B6" s="18" t="s">
        <v>97</v>
      </c>
      <c r="C6" s="18" t="s">
        <v>98</v>
      </c>
      <c r="D6" s="18" t="s">
        <v>99</v>
      </c>
      <c r="E6" s="18" t="s">
        <v>100</v>
      </c>
    </row>
    <row r="7" ht="55.2" spans="1:5">
      <c r="A7" s="17">
        <v>2</v>
      </c>
      <c r="B7" s="18" t="s">
        <v>101</v>
      </c>
      <c r="C7" s="18" t="s">
        <v>102</v>
      </c>
      <c r="D7" s="18" t="s">
        <v>103</v>
      </c>
      <c r="E7" s="18" t="s">
        <v>104</v>
      </c>
    </row>
    <row r="8" ht="55.2" spans="1:5">
      <c r="A8" s="17">
        <v>3</v>
      </c>
      <c r="B8" s="18" t="s">
        <v>105</v>
      </c>
      <c r="C8" s="18" t="s">
        <v>106</v>
      </c>
      <c r="D8" s="18" t="s">
        <v>107</v>
      </c>
      <c r="E8" s="18" t="s">
        <v>108</v>
      </c>
    </row>
    <row r="9" ht="55.2" spans="1:5">
      <c r="A9" s="17">
        <v>4</v>
      </c>
      <c r="B9" s="18" t="s">
        <v>97</v>
      </c>
      <c r="C9" s="18" t="s">
        <v>109</v>
      </c>
      <c r="D9" s="18" t="s">
        <v>110</v>
      </c>
      <c r="E9" s="18" t="s">
        <v>111</v>
      </c>
    </row>
    <row r="10" ht="41.4" spans="1:5">
      <c r="A10" s="17">
        <v>5</v>
      </c>
      <c r="B10" s="18" t="s">
        <v>97</v>
      </c>
      <c r="C10" s="18" t="s">
        <v>112</v>
      </c>
      <c r="D10" s="18" t="s">
        <v>113</v>
      </c>
      <c r="E10" s="18" t="s">
        <v>114</v>
      </c>
    </row>
    <row r="11" ht="41.4" spans="1:5">
      <c r="A11" s="17">
        <v>6</v>
      </c>
      <c r="B11" s="18" t="s">
        <v>115</v>
      </c>
      <c r="C11" s="18" t="s">
        <v>116</v>
      </c>
      <c r="D11" s="18" t="s">
        <v>117</v>
      </c>
      <c r="E11" s="18" t="s">
        <v>118</v>
      </c>
    </row>
    <row r="12" ht="55.2" spans="1:5">
      <c r="A12" s="17">
        <v>7</v>
      </c>
      <c r="B12" s="18" t="s">
        <v>119</v>
      </c>
      <c r="C12" s="18" t="s">
        <v>120</v>
      </c>
      <c r="D12" s="18" t="s">
        <v>121</v>
      </c>
      <c r="E12" s="18" t="s">
        <v>122</v>
      </c>
    </row>
    <row r="13" ht="41.4" spans="1:5">
      <c r="A13" s="17">
        <v>8</v>
      </c>
      <c r="B13" s="18" t="s">
        <v>97</v>
      </c>
      <c r="C13" s="18" t="s">
        <v>123</v>
      </c>
      <c r="D13" s="18" t="s">
        <v>124</v>
      </c>
      <c r="E13" s="18" t="s">
        <v>125</v>
      </c>
    </row>
    <row r="14" ht="41.4" spans="1:5">
      <c r="A14" s="17">
        <v>9</v>
      </c>
      <c r="B14" s="18" t="s">
        <v>126</v>
      </c>
      <c r="C14" s="18" t="s">
        <v>127</v>
      </c>
      <c r="D14" s="18" t="s">
        <v>128</v>
      </c>
      <c r="E14" s="18" t="s">
        <v>129</v>
      </c>
    </row>
    <row r="15" ht="41.4" spans="1:5">
      <c r="A15" s="17">
        <v>10</v>
      </c>
      <c r="B15" s="18" t="s">
        <v>130</v>
      </c>
      <c r="C15" s="18" t="s">
        <v>131</v>
      </c>
      <c r="D15" s="18" t="s">
        <v>132</v>
      </c>
      <c r="E15" s="18" t="s">
        <v>133</v>
      </c>
    </row>
    <row r="16" ht="27.6" spans="1:5">
      <c r="A16" s="17">
        <v>11</v>
      </c>
      <c r="B16" s="18" t="s">
        <v>134</v>
      </c>
      <c r="C16" s="18" t="s">
        <v>135</v>
      </c>
      <c r="D16" s="18" t="s">
        <v>136</v>
      </c>
      <c r="E16" s="18" t="s">
        <v>137</v>
      </c>
    </row>
    <row r="17" ht="41.4" spans="1:5">
      <c r="A17" s="17">
        <v>12</v>
      </c>
      <c r="B17" s="18" t="s">
        <v>138</v>
      </c>
      <c r="C17" s="18" t="s">
        <v>139</v>
      </c>
      <c r="D17" s="18" t="s">
        <v>140</v>
      </c>
      <c r="E17" s="18" t="s">
        <v>141</v>
      </c>
    </row>
    <row r="19" ht="20" customHeight="1" spans="1:5">
      <c r="A19" s="13" t="s">
        <v>142</v>
      </c>
    </row>
    <row r="20" ht="44" customHeight="1" spans="1:5">
      <c r="A20" s="14" t="s">
        <v>143</v>
      </c>
      <c r="B20" s="15"/>
      <c r="C20" s="15"/>
      <c r="D20" s="15"/>
      <c r="E20" s="15"/>
    </row>
    <row r="21" spans="1:5">
      <c r="A21" s="16" t="s">
        <v>92</v>
      </c>
      <c r="B21" s="16" t="s">
        <v>93</v>
      </c>
      <c r="C21" s="16" t="s">
        <v>94</v>
      </c>
      <c r="D21" s="16" t="s">
        <v>95</v>
      </c>
      <c r="E21" s="16" t="s">
        <v>96</v>
      </c>
    </row>
    <row r="22" ht="41.4" spans="1:5">
      <c r="A22" s="17">
        <v>1</v>
      </c>
      <c r="B22" s="18" t="s">
        <v>144</v>
      </c>
      <c r="C22" s="18" t="s">
        <v>145</v>
      </c>
      <c r="D22" s="18" t="s">
        <v>146</v>
      </c>
      <c r="E22" s="18" t="s">
        <v>147</v>
      </c>
    </row>
    <row r="23" ht="27.6" spans="1:5">
      <c r="A23" s="17">
        <v>2</v>
      </c>
      <c r="B23" s="18" t="s">
        <v>144</v>
      </c>
      <c r="C23" s="18" t="s">
        <v>148</v>
      </c>
      <c r="D23" s="18" t="s">
        <v>149</v>
      </c>
      <c r="E23" s="18" t="s">
        <v>150</v>
      </c>
    </row>
    <row r="24" ht="41.4" spans="1:5">
      <c r="A24" s="17">
        <v>3</v>
      </c>
      <c r="B24" s="18" t="s">
        <v>144</v>
      </c>
      <c r="C24" s="18" t="s">
        <v>151</v>
      </c>
      <c r="D24" s="18" t="s">
        <v>152</v>
      </c>
      <c r="E24" s="18" t="s">
        <v>153</v>
      </c>
    </row>
    <row r="25" ht="27.6" spans="1:5">
      <c r="A25" s="17">
        <v>4</v>
      </c>
      <c r="B25" s="18" t="s">
        <v>154</v>
      </c>
      <c r="C25" s="18" t="s">
        <v>155</v>
      </c>
      <c r="D25" s="18" t="s">
        <v>156</v>
      </c>
      <c r="E25" s="18" t="s">
        <v>157</v>
      </c>
    </row>
    <row r="26" ht="41.4" spans="1:5">
      <c r="A26" s="17">
        <v>5</v>
      </c>
      <c r="B26" s="18" t="s">
        <v>144</v>
      </c>
      <c r="C26" s="18" t="s">
        <v>158</v>
      </c>
      <c r="D26" s="18" t="s">
        <v>159</v>
      </c>
      <c r="E26" s="18" t="s">
        <v>160</v>
      </c>
    </row>
    <row r="27" ht="27.6" spans="1:5">
      <c r="A27" s="17">
        <v>6</v>
      </c>
      <c r="B27" s="18" t="s">
        <v>144</v>
      </c>
      <c r="C27" s="18" t="s">
        <v>161</v>
      </c>
      <c r="D27" s="18" t="s">
        <v>162</v>
      </c>
      <c r="E27" s="18" t="s">
        <v>163</v>
      </c>
    </row>
    <row r="28" spans="1:5">
      <c r="A28" s="17">
        <v>7</v>
      </c>
      <c r="B28" s="18" t="s">
        <v>164</v>
      </c>
      <c r="C28" s="18" t="s">
        <v>165</v>
      </c>
      <c r="D28" s="18" t="s">
        <v>166</v>
      </c>
      <c r="E28" s="18" t="s">
        <v>167</v>
      </c>
    </row>
    <row r="30" ht="20" customHeight="1" spans="1:5">
      <c r="A30" s="13" t="s">
        <v>168</v>
      </c>
    </row>
    <row r="31" ht="44" customHeight="1" spans="1:5">
      <c r="A31" s="14" t="s">
        <v>169</v>
      </c>
      <c r="B31" s="15"/>
      <c r="C31" s="15"/>
      <c r="D31" s="15"/>
      <c r="E31" s="15"/>
    </row>
    <row r="32" spans="1:5">
      <c r="A32" s="16" t="s">
        <v>92</v>
      </c>
      <c r="B32" s="16" t="s">
        <v>93</v>
      </c>
      <c r="C32" s="16" t="s">
        <v>94</v>
      </c>
      <c r="D32" s="16" t="s">
        <v>95</v>
      </c>
      <c r="E32" s="16" t="s">
        <v>96</v>
      </c>
    </row>
    <row r="33" ht="27.6" spans="1:5">
      <c r="A33" s="17">
        <v>1</v>
      </c>
      <c r="B33" s="18" t="s">
        <v>170</v>
      </c>
      <c r="C33" s="18" t="s">
        <v>171</v>
      </c>
      <c r="D33" s="18" t="s">
        <v>172</v>
      </c>
      <c r="E33" s="18" t="s">
        <v>173</v>
      </c>
    </row>
    <row r="34" ht="41.4" spans="1:5">
      <c r="A34" s="17">
        <v>2</v>
      </c>
      <c r="B34" s="18" t="s">
        <v>72</v>
      </c>
      <c r="C34" s="18" t="s">
        <v>174</v>
      </c>
      <c r="D34" s="18" t="s">
        <v>175</v>
      </c>
      <c r="E34" s="18" t="s">
        <v>176</v>
      </c>
    </row>
    <row r="35" ht="27.6" spans="1:5">
      <c r="A35" s="17">
        <v>3</v>
      </c>
      <c r="B35" s="18" t="s">
        <v>177</v>
      </c>
      <c r="C35" s="18" t="s">
        <v>178</v>
      </c>
      <c r="D35" s="18" t="s">
        <v>179</v>
      </c>
      <c r="E35" s="18" t="s">
        <v>180</v>
      </c>
    </row>
    <row r="36" ht="55.2" spans="1:5">
      <c r="A36" s="17">
        <v>4</v>
      </c>
      <c r="B36" s="18" t="s">
        <v>126</v>
      </c>
      <c r="C36" s="18" t="s">
        <v>181</v>
      </c>
      <c r="D36" s="18" t="s">
        <v>182</v>
      </c>
      <c r="E36" s="18" t="s">
        <v>183</v>
      </c>
    </row>
    <row r="37" spans="1:5">
      <c r="A37" s="17">
        <v>5</v>
      </c>
      <c r="B37" s="18" t="s">
        <v>72</v>
      </c>
      <c r="C37" s="18" t="s">
        <v>184</v>
      </c>
      <c r="D37" s="18" t="s">
        <v>185</v>
      </c>
      <c r="E37" s="18" t="s">
        <v>186</v>
      </c>
    </row>
    <row r="38" ht="27.6" spans="1:5">
      <c r="A38" s="17">
        <v>6</v>
      </c>
      <c r="B38" s="18" t="s">
        <v>187</v>
      </c>
      <c r="C38" s="18" t="s">
        <v>188</v>
      </c>
      <c r="D38" s="18" t="s">
        <v>189</v>
      </c>
      <c r="E38" s="18" t="s">
        <v>190</v>
      </c>
    </row>
    <row r="39" ht="27.6" spans="1:5">
      <c r="A39" s="17">
        <v>7</v>
      </c>
      <c r="B39" s="18" t="s">
        <v>72</v>
      </c>
      <c r="C39" s="18" t="s">
        <v>191</v>
      </c>
      <c r="D39" s="18" t="s">
        <v>192</v>
      </c>
      <c r="E39" s="18" t="s">
        <v>193</v>
      </c>
    </row>
    <row r="41" ht="20" customHeight="1" spans="1:5">
      <c r="A41" s="13" t="s">
        <v>194</v>
      </c>
    </row>
    <row r="42" ht="44" customHeight="1" spans="1:5">
      <c r="A42" s="14" t="s">
        <v>195</v>
      </c>
      <c r="B42" s="15"/>
      <c r="C42" s="15"/>
      <c r="D42" s="15"/>
      <c r="E42" s="15"/>
    </row>
    <row r="43" spans="1:5">
      <c r="A43" s="16" t="s">
        <v>92</v>
      </c>
      <c r="B43" s="16" t="s">
        <v>93</v>
      </c>
      <c r="C43" s="16" t="s">
        <v>94</v>
      </c>
      <c r="D43" s="16" t="s">
        <v>95</v>
      </c>
      <c r="E43" s="16" t="s">
        <v>96</v>
      </c>
    </row>
    <row r="44" ht="41.4" spans="1:5">
      <c r="A44" s="17">
        <v>1</v>
      </c>
      <c r="B44" s="18" t="s">
        <v>196</v>
      </c>
      <c r="C44" s="18" t="s">
        <v>197</v>
      </c>
      <c r="D44" s="18" t="s">
        <v>198</v>
      </c>
      <c r="E44" s="18" t="s">
        <v>199</v>
      </c>
    </row>
    <row r="45" ht="41.4" spans="1:5">
      <c r="A45" s="17">
        <v>2</v>
      </c>
      <c r="B45" s="18" t="s">
        <v>200</v>
      </c>
      <c r="C45" s="18" t="s">
        <v>131</v>
      </c>
      <c r="D45" s="18" t="s">
        <v>201</v>
      </c>
      <c r="E45" s="18" t="s">
        <v>202</v>
      </c>
    </row>
    <row r="46" ht="55.2" spans="1:5">
      <c r="A46" s="17">
        <v>3</v>
      </c>
      <c r="B46" s="18" t="s">
        <v>203</v>
      </c>
      <c r="C46" s="18" t="s">
        <v>204</v>
      </c>
      <c r="D46" s="18" t="s">
        <v>205</v>
      </c>
      <c r="E46" s="18" t="s">
        <v>206</v>
      </c>
    </row>
    <row r="47" ht="27.6" spans="1:5">
      <c r="A47" s="17">
        <v>4</v>
      </c>
      <c r="B47" s="18" t="s">
        <v>196</v>
      </c>
      <c r="C47" s="18" t="s">
        <v>207</v>
      </c>
      <c r="D47" s="18" t="s">
        <v>208</v>
      </c>
      <c r="E47" s="18" t="s">
        <v>209</v>
      </c>
    </row>
    <row r="48" spans="1:5">
      <c r="A48" s="17">
        <v>5</v>
      </c>
      <c r="B48" s="18" t="s">
        <v>210</v>
      </c>
      <c r="C48" s="18" t="s">
        <v>211</v>
      </c>
      <c r="D48" s="18" t="s">
        <v>212</v>
      </c>
      <c r="E48" s="18" t="s">
        <v>213</v>
      </c>
    </row>
    <row r="50" ht="20" customHeight="1" spans="1:5">
      <c r="A50" s="13" t="s">
        <v>214</v>
      </c>
    </row>
    <row r="51" ht="44" customHeight="1" spans="1:5">
      <c r="A51" s="14" t="s">
        <v>215</v>
      </c>
      <c r="B51" s="15"/>
      <c r="C51" s="15"/>
      <c r="D51" s="15"/>
      <c r="E51" s="15"/>
    </row>
    <row r="52" spans="1:5">
      <c r="A52" s="16" t="s">
        <v>92</v>
      </c>
      <c r="B52" s="16" t="s">
        <v>93</v>
      </c>
      <c r="C52" s="16" t="s">
        <v>94</v>
      </c>
      <c r="D52" s="16" t="s">
        <v>95</v>
      </c>
      <c r="E52" s="16" t="s">
        <v>96</v>
      </c>
    </row>
    <row r="53" ht="27.6" spans="1:5">
      <c r="A53" s="17">
        <v>1</v>
      </c>
      <c r="B53" s="18" t="s">
        <v>216</v>
      </c>
      <c r="C53" s="18" t="s">
        <v>217</v>
      </c>
      <c r="D53" s="18" t="s">
        <v>218</v>
      </c>
      <c r="E53" s="18" t="s">
        <v>219</v>
      </c>
    </row>
    <row r="54" ht="27.6" spans="1:5">
      <c r="A54" s="17">
        <v>2</v>
      </c>
      <c r="B54" s="18" t="s">
        <v>220</v>
      </c>
      <c r="C54" s="18" t="s">
        <v>221</v>
      </c>
      <c r="D54" s="18" t="s">
        <v>222</v>
      </c>
      <c r="E54" s="18" t="s">
        <v>223</v>
      </c>
    </row>
    <row r="55" ht="41.4" spans="1:5">
      <c r="A55" s="17">
        <v>3</v>
      </c>
      <c r="B55" s="18" t="s">
        <v>224</v>
      </c>
      <c r="C55" s="18" t="s">
        <v>225</v>
      </c>
      <c r="D55" s="18" t="s">
        <v>226</v>
      </c>
      <c r="E55" s="18" t="s">
        <v>227</v>
      </c>
    </row>
    <row r="56" ht="27.6" spans="1:5">
      <c r="A56" s="17">
        <v>4</v>
      </c>
      <c r="B56" s="18" t="s">
        <v>228</v>
      </c>
      <c r="C56" s="18" t="s">
        <v>225</v>
      </c>
      <c r="D56" s="18" t="s">
        <v>229</v>
      </c>
      <c r="E56" s="18" t="s">
        <v>230</v>
      </c>
    </row>
    <row r="57" ht="27.6" spans="1:5">
      <c r="A57" s="17">
        <v>5</v>
      </c>
      <c r="B57" s="18" t="s">
        <v>231</v>
      </c>
      <c r="C57" s="18" t="s">
        <v>232</v>
      </c>
      <c r="D57" s="18" t="s">
        <v>233</v>
      </c>
      <c r="E57" s="18" t="s">
        <v>234</v>
      </c>
    </row>
    <row r="58" ht="27.6" spans="1:5">
      <c r="A58" s="17">
        <v>6</v>
      </c>
      <c r="B58" s="18" t="s">
        <v>235</v>
      </c>
      <c r="C58" s="18" t="s">
        <v>236</v>
      </c>
      <c r="D58" s="18" t="s">
        <v>237</v>
      </c>
      <c r="E58" s="18" t="s">
        <v>238</v>
      </c>
    </row>
    <row r="60" ht="20" customHeight="1" spans="1:5">
      <c r="A60" s="13" t="s">
        <v>239</v>
      </c>
    </row>
    <row r="61" ht="44" customHeight="1" spans="1:5">
      <c r="A61" s="14" t="s">
        <v>240</v>
      </c>
      <c r="B61" s="15"/>
      <c r="C61" s="15"/>
      <c r="D61" s="15"/>
      <c r="E61" s="15"/>
    </row>
    <row r="62" spans="1:5">
      <c r="A62" s="16" t="s">
        <v>92</v>
      </c>
      <c r="B62" s="16" t="s">
        <v>93</v>
      </c>
      <c r="C62" s="16" t="s">
        <v>94</v>
      </c>
      <c r="D62" s="16" t="s">
        <v>95</v>
      </c>
      <c r="E62" s="16" t="s">
        <v>96</v>
      </c>
    </row>
    <row r="63" ht="41.4" spans="1:5">
      <c r="A63" s="17">
        <v>1</v>
      </c>
      <c r="B63" s="18" t="s">
        <v>241</v>
      </c>
      <c r="C63" s="18" t="s">
        <v>242</v>
      </c>
      <c r="D63" s="18" t="s">
        <v>243</v>
      </c>
      <c r="E63" s="18" t="s">
        <v>244</v>
      </c>
    </row>
    <row r="64" ht="27.6" spans="1:5">
      <c r="A64" s="17">
        <v>2</v>
      </c>
      <c r="B64" s="18" t="s">
        <v>241</v>
      </c>
      <c r="C64" s="18" t="s">
        <v>245</v>
      </c>
      <c r="D64" s="18" t="s">
        <v>246</v>
      </c>
      <c r="E64" s="18" t="s">
        <v>247</v>
      </c>
    </row>
    <row r="65" ht="55.2" spans="1:5">
      <c r="A65" s="17">
        <v>3</v>
      </c>
      <c r="B65" s="18" t="s">
        <v>248</v>
      </c>
      <c r="C65" s="18" t="s">
        <v>249</v>
      </c>
      <c r="D65" s="18" t="s">
        <v>250</v>
      </c>
      <c r="E65" s="18" t="s">
        <v>251</v>
      </c>
    </row>
    <row r="67" ht="20" customHeight="1" spans="1:5">
      <c r="A67" s="13" t="s">
        <v>252</v>
      </c>
    </row>
    <row r="68" ht="44" customHeight="1" spans="1:5">
      <c r="A68" s="14" t="s">
        <v>253</v>
      </c>
      <c r="B68" s="15"/>
      <c r="C68" s="15"/>
      <c r="D68" s="15"/>
      <c r="E68" s="15"/>
    </row>
    <row r="69" spans="1:5">
      <c r="A69" s="16" t="s">
        <v>92</v>
      </c>
      <c r="B69" s="16" t="s">
        <v>93</v>
      </c>
      <c r="C69" s="16" t="s">
        <v>94</v>
      </c>
      <c r="D69" s="16" t="s">
        <v>95</v>
      </c>
      <c r="E69" s="16" t="s">
        <v>96</v>
      </c>
    </row>
    <row r="70" ht="41.4" spans="1:5">
      <c r="A70" s="17">
        <v>1</v>
      </c>
      <c r="B70" s="18" t="s">
        <v>254</v>
      </c>
      <c r="C70" s="18" t="s">
        <v>255</v>
      </c>
      <c r="D70" s="18" t="s">
        <v>256</v>
      </c>
      <c r="E70" s="18" t="s">
        <v>257</v>
      </c>
    </row>
    <row r="71" ht="41.4" spans="1:5">
      <c r="A71" s="17">
        <v>2</v>
      </c>
      <c r="B71" s="18" t="s">
        <v>254</v>
      </c>
      <c r="C71" s="18" t="s">
        <v>258</v>
      </c>
      <c r="D71" s="18" t="s">
        <v>259</v>
      </c>
      <c r="E71" s="18" t="s">
        <v>260</v>
      </c>
    </row>
    <row r="72" ht="55.2" spans="1:5">
      <c r="A72" s="17">
        <v>3</v>
      </c>
      <c r="B72" s="18" t="s">
        <v>261</v>
      </c>
      <c r="C72" s="18" t="s">
        <v>262</v>
      </c>
      <c r="D72" s="18" t="s">
        <v>263</v>
      </c>
      <c r="E72" s="18" t="s">
        <v>264</v>
      </c>
    </row>
    <row r="73" ht="27.6" spans="1:5">
      <c r="A73" s="17">
        <v>4</v>
      </c>
      <c r="B73" s="18" t="s">
        <v>265</v>
      </c>
      <c r="C73" s="18" t="s">
        <v>266</v>
      </c>
      <c r="D73" s="18" t="s">
        <v>267</v>
      </c>
      <c r="E73" s="18" t="s">
        <v>268</v>
      </c>
    </row>
    <row r="74" ht="41.4" spans="1:5">
      <c r="A74" s="17">
        <v>5</v>
      </c>
      <c r="B74" s="18" t="s">
        <v>254</v>
      </c>
      <c r="C74" s="18" t="s">
        <v>269</v>
      </c>
      <c r="D74" s="18" t="s">
        <v>270</v>
      </c>
      <c r="E74" s="18" t="s">
        <v>271</v>
      </c>
    </row>
    <row r="75" ht="27.6" spans="1:5">
      <c r="A75" s="17">
        <v>6</v>
      </c>
      <c r="B75" s="18" t="s">
        <v>254</v>
      </c>
      <c r="C75" s="18" t="s">
        <v>272</v>
      </c>
      <c r="D75" s="18" t="s">
        <v>273</v>
      </c>
      <c r="E75" s="18" t="s">
        <v>274</v>
      </c>
    </row>
    <row r="77" ht="20" customHeight="1" spans="1:5">
      <c r="A77" s="13" t="s">
        <v>275</v>
      </c>
    </row>
    <row r="78" ht="44" customHeight="1" spans="1:5">
      <c r="A78" s="14" t="s">
        <v>276</v>
      </c>
      <c r="B78" s="15"/>
      <c r="C78" s="15"/>
      <c r="D78" s="15"/>
      <c r="E78" s="15"/>
    </row>
    <row r="79" spans="1:5">
      <c r="A79" s="16" t="s">
        <v>92</v>
      </c>
      <c r="B79" s="16" t="s">
        <v>93</v>
      </c>
      <c r="C79" s="16" t="s">
        <v>94</v>
      </c>
      <c r="D79" s="16" t="s">
        <v>95</v>
      </c>
      <c r="E79" s="16" t="s">
        <v>96</v>
      </c>
    </row>
    <row r="80" spans="1:5">
      <c r="A80" s="17">
        <v>1</v>
      </c>
      <c r="B80" s="18" t="s">
        <v>97</v>
      </c>
      <c r="C80" s="18" t="s">
        <v>277</v>
      </c>
      <c r="D80" s="18" t="s">
        <v>278</v>
      </c>
      <c r="E80" s="18" t="s">
        <v>279</v>
      </c>
    </row>
    <row r="81" spans="1:5">
      <c r="A81" s="17">
        <v>2</v>
      </c>
      <c r="B81" s="18" t="s">
        <v>280</v>
      </c>
      <c r="C81" s="18" t="s">
        <v>127</v>
      </c>
      <c r="D81" s="18" t="s">
        <v>281</v>
      </c>
      <c r="E81" s="18" t="s">
        <v>279</v>
      </c>
    </row>
    <row r="82" spans="1:5">
      <c r="A82" s="17">
        <v>3</v>
      </c>
      <c r="B82" s="18" t="s">
        <v>282</v>
      </c>
      <c r="C82" s="18" t="s">
        <v>127</v>
      </c>
      <c r="D82" s="18" t="s">
        <v>283</v>
      </c>
      <c r="E82" s="18" t="s">
        <v>279</v>
      </c>
    </row>
    <row r="83" spans="1:5">
      <c r="A83" s="17">
        <v>4</v>
      </c>
      <c r="B83" s="18" t="s">
        <v>196</v>
      </c>
      <c r="C83" s="18" t="s">
        <v>127</v>
      </c>
      <c r="D83" s="18" t="s">
        <v>284</v>
      </c>
      <c r="E83" s="18" t="s">
        <v>285</v>
      </c>
    </row>
    <row r="84" spans="1:5">
      <c r="A84" s="17">
        <v>5</v>
      </c>
      <c r="B84" s="18" t="s">
        <v>286</v>
      </c>
      <c r="C84" s="18" t="s">
        <v>287</v>
      </c>
      <c r="D84" s="18" t="s">
        <v>288</v>
      </c>
      <c r="E84" s="18" t="s">
        <v>279</v>
      </c>
    </row>
    <row r="85" spans="1:5">
      <c r="A85" s="17">
        <v>6</v>
      </c>
      <c r="B85" s="18" t="s">
        <v>72</v>
      </c>
      <c r="C85" s="18" t="s">
        <v>289</v>
      </c>
      <c r="D85" s="18" t="s">
        <v>290</v>
      </c>
      <c r="E85" s="18" t="s">
        <v>279</v>
      </c>
    </row>
    <row r="86" spans="1:5">
      <c r="A86" s="17">
        <v>7</v>
      </c>
      <c r="B86" s="18" t="s">
        <v>282</v>
      </c>
      <c r="C86" s="18" t="s">
        <v>291</v>
      </c>
      <c r="D86" s="18" t="s">
        <v>292</v>
      </c>
      <c r="E86" s="18" t="s">
        <v>279</v>
      </c>
    </row>
    <row r="87" spans="1:5">
      <c r="A87" s="17">
        <v>8</v>
      </c>
      <c r="B87" s="18" t="s">
        <v>196</v>
      </c>
      <c r="C87" s="18" t="s">
        <v>293</v>
      </c>
      <c r="D87" s="18" t="s">
        <v>294</v>
      </c>
      <c r="E87" s="18" t="s">
        <v>295</v>
      </c>
    </row>
    <row r="88" spans="1:5">
      <c r="A88" s="17">
        <v>9</v>
      </c>
      <c r="B88" s="18" t="s">
        <v>72</v>
      </c>
      <c r="C88" s="18" t="s">
        <v>296</v>
      </c>
      <c r="D88" s="18" t="s">
        <v>297</v>
      </c>
      <c r="E88" s="18" t="s">
        <v>279</v>
      </c>
    </row>
    <row r="89" spans="1:5">
      <c r="A89" s="17">
        <v>10</v>
      </c>
      <c r="B89" s="18" t="s">
        <v>200</v>
      </c>
      <c r="C89" s="18" t="s">
        <v>127</v>
      </c>
      <c r="D89" s="18" t="s">
        <v>298</v>
      </c>
      <c r="E89" s="18" t="s">
        <v>299</v>
      </c>
    </row>
  </sheetData>
  <mergeCells count="17">
    <mergeCell ref="A1:E1"/>
    <mergeCell ref="A3:E3"/>
    <mergeCell ref="A4:E4"/>
    <mergeCell ref="A19:E19"/>
    <mergeCell ref="A20:E20"/>
    <mergeCell ref="A30:E30"/>
    <mergeCell ref="A31:E31"/>
    <mergeCell ref="A41:E41"/>
    <mergeCell ref="A42:E42"/>
    <mergeCell ref="A50:E50"/>
    <mergeCell ref="A51:E51"/>
    <mergeCell ref="A60:E60"/>
    <mergeCell ref="A61:E61"/>
    <mergeCell ref="A67:E67"/>
    <mergeCell ref="A68:E68"/>
    <mergeCell ref="A77:E77"/>
    <mergeCell ref="A78:E7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115"/>
  <sheetViews>
    <sheetView zoomScale="90" zoomScaleNormal="90" workbookViewId="0">
      <pane xSplit="2" ySplit="5" topLeftCell="C6" activePane="bottomRight" state="frozen"/>
      <selection/>
      <selection pane="topRight"/>
      <selection pane="bottomLeft"/>
      <selection pane="bottomRight" activeCell="A1" sqref="A1:O1"/>
    </sheetView>
  </sheetViews>
  <sheetFormatPr defaultColWidth="9" defaultRowHeight="14.4"/>
  <cols>
    <col min="1" max="1" width="10" customWidth="1"/>
    <col min="2" max="2" width="7" customWidth="1"/>
    <col min="3" max="3" width="16" customWidth="1"/>
    <col min="4" max="4" width="12" customWidth="1"/>
    <col min="5" max="5" width="46" customWidth="1"/>
    <col min="6" max="6" width="42" customWidth="1"/>
    <col min="7" max="7" width="14" customWidth="1"/>
    <col min="8" max="9" width="12" customWidth="1"/>
    <col min="10" max="10" width="46" customWidth="1"/>
    <col min="11" max="11" width="13" customWidth="1"/>
    <col min="12" max="12" width="26" customWidth="1"/>
    <col min="13" max="13" width="30" customWidth="1"/>
    <col min="14" max="14" width="16" customWidth="1"/>
    <col min="15" max="15" width="22" customWidth="1"/>
  </cols>
  <sheetData>
    <row r="1" ht="24" customHeight="1" spans="1:15">
      <c r="A1" s="1" t="s">
        <v>300</v>
      </c>
    </row>
    <row r="2" spans="1:15">
      <c r="A2" s="2" t="s">
        <v>301</v>
      </c>
    </row>
    <row r="3" ht="48" customHeight="1" spans="1:15">
      <c r="A3" s="3" t="s">
        <v>302</v>
      </c>
    </row>
    <row r="5" ht="42" customHeight="1" spans="1:15">
      <c r="A5" s="4" t="s">
        <v>27</v>
      </c>
      <c r="B5" s="4" t="s">
        <v>92</v>
      </c>
      <c r="C5" s="4" t="s">
        <v>303</v>
      </c>
      <c r="D5" s="4" t="s">
        <v>304</v>
      </c>
      <c r="E5" s="4" t="s">
        <v>29</v>
      </c>
      <c r="F5" s="4" t="s">
        <v>31</v>
      </c>
      <c r="G5" s="4" t="s">
        <v>305</v>
      </c>
      <c r="H5" s="4" t="s">
        <v>306</v>
      </c>
      <c r="I5" s="4" t="s">
        <v>14</v>
      </c>
      <c r="J5" s="4" t="s">
        <v>307</v>
      </c>
      <c r="K5" s="4" t="s">
        <v>18</v>
      </c>
      <c r="L5" s="4" t="s">
        <v>308</v>
      </c>
      <c r="M5" s="4" t="s">
        <v>309</v>
      </c>
      <c r="N5" s="4" t="s">
        <v>310</v>
      </c>
      <c r="O5" s="4" t="s">
        <v>24</v>
      </c>
    </row>
    <row r="6" spans="1:15">
      <c r="A6" s="12" t="s">
        <v>311</v>
      </c>
    </row>
    <row r="7" ht="26.4" spans="1:15">
      <c r="A7" s="5" t="s">
        <v>312</v>
      </c>
      <c r="B7" s="5">
        <v>1</v>
      </c>
      <c r="C7" s="6" t="s">
        <v>313</v>
      </c>
      <c r="D7" s="5" t="s">
        <v>314</v>
      </c>
      <c r="E7" s="6" t="s">
        <v>315</v>
      </c>
      <c r="F7" s="6" t="s">
        <v>316</v>
      </c>
      <c r="G7" s="7"/>
      <c r="H7" s="8"/>
      <c r="I7" s="9"/>
      <c r="J7" s="7"/>
      <c r="K7" s="9"/>
      <c r="L7" s="7"/>
      <c r="M7" s="7"/>
      <c r="N7" s="9"/>
      <c r="O7" s="7"/>
    </row>
    <row r="8" spans="1:15">
      <c r="A8" s="5" t="s">
        <v>317</v>
      </c>
      <c r="B8" s="5">
        <v>1</v>
      </c>
      <c r="C8" s="6" t="s">
        <v>313</v>
      </c>
      <c r="D8" s="5" t="s">
        <v>314</v>
      </c>
      <c r="E8" s="6" t="s">
        <v>318</v>
      </c>
      <c r="F8" s="6" t="s">
        <v>319</v>
      </c>
      <c r="G8" s="7"/>
      <c r="H8" s="8"/>
      <c r="I8" s="9"/>
      <c r="J8" s="7"/>
      <c r="K8" s="9"/>
      <c r="L8" s="7"/>
      <c r="M8" s="7"/>
      <c r="N8" s="9"/>
      <c r="O8" s="7"/>
    </row>
    <row r="9" spans="1:15">
      <c r="A9" s="10" t="s">
        <v>28</v>
      </c>
      <c r="B9" s="10">
        <v>1</v>
      </c>
      <c r="C9" s="11" t="s">
        <v>313</v>
      </c>
      <c r="D9" s="10" t="s">
        <v>320</v>
      </c>
      <c r="E9" s="11" t="s">
        <v>30</v>
      </c>
      <c r="F9" s="11" t="s">
        <v>32</v>
      </c>
      <c r="G9" s="7"/>
      <c r="H9" s="8"/>
      <c r="I9" s="9"/>
      <c r="J9" s="7"/>
      <c r="K9" s="9"/>
      <c r="L9" s="7"/>
      <c r="M9" s="7"/>
      <c r="N9" s="9"/>
      <c r="O9" s="7"/>
    </row>
    <row r="10" spans="1:15">
      <c r="A10" s="10" t="s">
        <v>321</v>
      </c>
      <c r="B10" s="10">
        <v>1</v>
      </c>
      <c r="C10" s="11" t="s">
        <v>313</v>
      </c>
      <c r="D10" s="10" t="s">
        <v>320</v>
      </c>
      <c r="E10" s="11" t="s">
        <v>322</v>
      </c>
      <c r="F10" s="11" t="s">
        <v>323</v>
      </c>
      <c r="G10" s="7"/>
      <c r="H10" s="8"/>
      <c r="I10" s="9"/>
      <c r="J10" s="7"/>
      <c r="K10" s="9"/>
      <c r="L10" s="7"/>
      <c r="M10" s="7"/>
      <c r="N10" s="9"/>
      <c r="O10" s="7"/>
    </row>
    <row r="11" ht="26.4" spans="1:15">
      <c r="A11" s="10" t="s">
        <v>324</v>
      </c>
      <c r="B11" s="10">
        <v>1</v>
      </c>
      <c r="C11" s="11" t="s">
        <v>313</v>
      </c>
      <c r="D11" s="10" t="s">
        <v>320</v>
      </c>
      <c r="E11" s="11" t="s">
        <v>325</v>
      </c>
      <c r="F11" s="11" t="s">
        <v>326</v>
      </c>
      <c r="G11" s="7"/>
      <c r="H11" s="8"/>
      <c r="I11" s="9"/>
      <c r="J11" s="7"/>
      <c r="K11" s="9"/>
      <c r="L11" s="7"/>
      <c r="M11" s="7"/>
      <c r="N11" s="9"/>
      <c r="O11" s="7"/>
    </row>
    <row r="12" spans="1:15">
      <c r="A12" s="10" t="s">
        <v>327</v>
      </c>
      <c r="B12" s="10">
        <v>1</v>
      </c>
      <c r="C12" s="11" t="s">
        <v>313</v>
      </c>
      <c r="D12" s="10" t="s">
        <v>320</v>
      </c>
      <c r="E12" s="11" t="s">
        <v>328</v>
      </c>
      <c r="F12" s="11" t="s">
        <v>329</v>
      </c>
      <c r="G12" s="7"/>
      <c r="H12" s="8"/>
      <c r="I12" s="9"/>
      <c r="J12" s="7"/>
      <c r="K12" s="9"/>
      <c r="L12" s="7"/>
      <c r="M12" s="7"/>
      <c r="N12" s="9"/>
      <c r="O12" s="7"/>
    </row>
    <row r="13" ht="26.4" spans="1:15">
      <c r="A13" s="10" t="s">
        <v>330</v>
      </c>
      <c r="B13" s="10">
        <v>1</v>
      </c>
      <c r="C13" s="11" t="s">
        <v>313</v>
      </c>
      <c r="D13" s="10" t="s">
        <v>320</v>
      </c>
      <c r="E13" s="11" t="s">
        <v>331</v>
      </c>
      <c r="F13" s="11" t="s">
        <v>332</v>
      </c>
      <c r="G13" s="7"/>
      <c r="H13" s="8"/>
      <c r="I13" s="9"/>
      <c r="J13" s="7"/>
      <c r="K13" s="9"/>
      <c r="L13" s="7"/>
      <c r="M13" s="7"/>
      <c r="N13" s="9"/>
      <c r="O13" s="7"/>
    </row>
    <row r="14" ht="26.4" spans="1:15">
      <c r="A14" s="10" t="s">
        <v>333</v>
      </c>
      <c r="B14" s="10">
        <v>1</v>
      </c>
      <c r="C14" s="11" t="s">
        <v>313</v>
      </c>
      <c r="D14" s="10" t="s">
        <v>320</v>
      </c>
      <c r="E14" s="11" t="s">
        <v>334</v>
      </c>
      <c r="F14" s="11" t="s">
        <v>335</v>
      </c>
      <c r="G14" s="7"/>
      <c r="H14" s="8"/>
      <c r="I14" s="9"/>
      <c r="J14" s="7"/>
      <c r="K14" s="9"/>
      <c r="L14" s="7"/>
      <c r="M14" s="7"/>
      <c r="N14" s="9"/>
      <c r="O14" s="7"/>
    </row>
    <row r="15" ht="26.4" spans="1:15">
      <c r="A15" s="10" t="s">
        <v>336</v>
      </c>
      <c r="B15" s="10">
        <v>1</v>
      </c>
      <c r="C15" s="11" t="s">
        <v>313</v>
      </c>
      <c r="D15" s="10" t="s">
        <v>320</v>
      </c>
      <c r="E15" s="11" t="s">
        <v>337</v>
      </c>
      <c r="F15" s="11" t="s">
        <v>338</v>
      </c>
      <c r="G15" s="7"/>
      <c r="H15" s="8"/>
      <c r="I15" s="9"/>
      <c r="J15" s="7"/>
      <c r="K15" s="9"/>
      <c r="L15" s="7"/>
      <c r="M15" s="7"/>
      <c r="N15" s="9"/>
      <c r="O15" s="7"/>
    </row>
    <row r="16" spans="1:15">
      <c r="A16" s="12" t="s">
        <v>339</v>
      </c>
    </row>
    <row r="17" ht="26.4" spans="1:15">
      <c r="A17" s="5" t="s">
        <v>340</v>
      </c>
      <c r="B17" s="5">
        <v>2</v>
      </c>
      <c r="C17" s="6" t="s">
        <v>341</v>
      </c>
      <c r="D17" s="5" t="s">
        <v>314</v>
      </c>
      <c r="E17" s="6" t="s">
        <v>342</v>
      </c>
      <c r="F17" s="6" t="s">
        <v>343</v>
      </c>
      <c r="G17" s="7"/>
      <c r="H17" s="8"/>
      <c r="I17" s="9"/>
      <c r="J17" s="7"/>
      <c r="K17" s="9"/>
      <c r="L17" s="7"/>
      <c r="M17" s="7"/>
      <c r="N17" s="9"/>
      <c r="O17" s="7"/>
    </row>
    <row r="18" spans="1:15">
      <c r="A18" s="5" t="s">
        <v>344</v>
      </c>
      <c r="B18" s="5">
        <v>2</v>
      </c>
      <c r="C18" s="6" t="s">
        <v>341</v>
      </c>
      <c r="D18" s="5" t="s">
        <v>314</v>
      </c>
      <c r="E18" s="6" t="s">
        <v>345</v>
      </c>
      <c r="F18" s="6" t="s">
        <v>346</v>
      </c>
      <c r="G18" s="7"/>
      <c r="H18" s="8"/>
      <c r="I18" s="9"/>
      <c r="J18" s="7"/>
      <c r="K18" s="9"/>
      <c r="L18" s="7"/>
      <c r="M18" s="7"/>
      <c r="N18" s="9"/>
      <c r="O18" s="7"/>
    </row>
    <row r="19" ht="26.4" spans="1:15">
      <c r="A19" s="5" t="s">
        <v>347</v>
      </c>
      <c r="B19" s="5">
        <v>2</v>
      </c>
      <c r="C19" s="6" t="s">
        <v>341</v>
      </c>
      <c r="D19" s="5" t="s">
        <v>314</v>
      </c>
      <c r="E19" s="6" t="s">
        <v>348</v>
      </c>
      <c r="F19" s="6" t="s">
        <v>349</v>
      </c>
      <c r="G19" s="7"/>
      <c r="H19" s="8"/>
      <c r="I19" s="9"/>
      <c r="J19" s="7"/>
      <c r="K19" s="9"/>
      <c r="L19" s="7"/>
      <c r="M19" s="7"/>
      <c r="N19" s="9"/>
      <c r="O19" s="7"/>
    </row>
    <row r="20" spans="1:15">
      <c r="A20" s="5" t="s">
        <v>350</v>
      </c>
      <c r="B20" s="5">
        <v>2</v>
      </c>
      <c r="C20" s="6" t="s">
        <v>341</v>
      </c>
      <c r="D20" s="5" t="s">
        <v>314</v>
      </c>
      <c r="E20" s="6" t="s">
        <v>351</v>
      </c>
      <c r="F20" s="6" t="s">
        <v>352</v>
      </c>
      <c r="G20" s="7"/>
      <c r="H20" s="8"/>
      <c r="I20" s="9"/>
      <c r="J20" s="7"/>
      <c r="K20" s="9"/>
      <c r="L20" s="7"/>
      <c r="M20" s="7"/>
      <c r="N20" s="9"/>
      <c r="O20" s="7"/>
    </row>
    <row r="21" ht="26.4" spans="1:15">
      <c r="A21" s="10" t="s">
        <v>353</v>
      </c>
      <c r="B21" s="10">
        <v>2</v>
      </c>
      <c r="C21" s="11" t="s">
        <v>341</v>
      </c>
      <c r="D21" s="10" t="s">
        <v>320</v>
      </c>
      <c r="E21" s="11" t="s">
        <v>354</v>
      </c>
      <c r="F21" s="11" t="s">
        <v>355</v>
      </c>
      <c r="G21" s="7"/>
      <c r="H21" s="8"/>
      <c r="I21" s="9"/>
      <c r="J21" s="7"/>
      <c r="K21" s="9"/>
      <c r="L21" s="7"/>
      <c r="M21" s="7"/>
      <c r="N21" s="9"/>
      <c r="O21" s="7"/>
    </row>
    <row r="22" ht="26.4" spans="1:15">
      <c r="A22" s="10" t="s">
        <v>356</v>
      </c>
      <c r="B22" s="10">
        <v>2</v>
      </c>
      <c r="C22" s="11" t="s">
        <v>341</v>
      </c>
      <c r="D22" s="10" t="s">
        <v>320</v>
      </c>
      <c r="E22" s="11" t="s">
        <v>357</v>
      </c>
      <c r="F22" s="11" t="s">
        <v>358</v>
      </c>
      <c r="G22" s="7"/>
      <c r="H22" s="8"/>
      <c r="I22" s="9"/>
      <c r="J22" s="7"/>
      <c r="K22" s="9"/>
      <c r="L22" s="7"/>
      <c r="M22" s="7"/>
      <c r="N22" s="9"/>
      <c r="O22" s="7"/>
    </row>
    <row r="23" ht="26.4" spans="1:15">
      <c r="A23" s="10" t="s">
        <v>359</v>
      </c>
      <c r="B23" s="10">
        <v>2</v>
      </c>
      <c r="C23" s="11" t="s">
        <v>341</v>
      </c>
      <c r="D23" s="10" t="s">
        <v>320</v>
      </c>
      <c r="E23" s="11" t="s">
        <v>360</v>
      </c>
      <c r="F23" s="11" t="s">
        <v>58</v>
      </c>
      <c r="G23" s="7"/>
      <c r="H23" s="8"/>
      <c r="I23" s="9"/>
      <c r="J23" s="7"/>
      <c r="K23" s="9"/>
      <c r="L23" s="7"/>
      <c r="M23" s="7"/>
      <c r="N23" s="9"/>
      <c r="O23" s="7"/>
    </row>
    <row r="24" ht="26.4" spans="1:15">
      <c r="A24" s="10" t="s">
        <v>361</v>
      </c>
      <c r="B24" s="10">
        <v>2</v>
      </c>
      <c r="C24" s="11" t="s">
        <v>341</v>
      </c>
      <c r="D24" s="10" t="s">
        <v>320</v>
      </c>
      <c r="E24" s="11" t="s">
        <v>362</v>
      </c>
      <c r="F24" s="11" t="s">
        <v>363</v>
      </c>
      <c r="G24" s="7"/>
      <c r="H24" s="8"/>
      <c r="I24" s="9"/>
      <c r="J24" s="7"/>
      <c r="K24" s="9"/>
      <c r="L24" s="7"/>
      <c r="M24" s="7"/>
      <c r="N24" s="9"/>
      <c r="O24" s="7"/>
    </row>
    <row r="25" spans="1:15">
      <c r="A25" s="10" t="s">
        <v>364</v>
      </c>
      <c r="B25" s="10">
        <v>2</v>
      </c>
      <c r="C25" s="11" t="s">
        <v>341</v>
      </c>
      <c r="D25" s="10" t="s">
        <v>320</v>
      </c>
      <c r="E25" s="11" t="s">
        <v>365</v>
      </c>
      <c r="F25" s="11" t="s">
        <v>366</v>
      </c>
      <c r="G25" s="7"/>
      <c r="H25" s="8"/>
      <c r="I25" s="9"/>
      <c r="J25" s="7"/>
      <c r="K25" s="9"/>
      <c r="L25" s="7"/>
      <c r="M25" s="7"/>
      <c r="N25" s="9"/>
      <c r="O25" s="7"/>
    </row>
    <row r="26" spans="1:15">
      <c r="A26" s="12" t="s">
        <v>367</v>
      </c>
    </row>
    <row r="27" ht="26.4" spans="1:15">
      <c r="A27" s="5" t="s">
        <v>368</v>
      </c>
      <c r="B27" s="5">
        <v>3</v>
      </c>
      <c r="C27" s="6" t="s">
        <v>369</v>
      </c>
      <c r="D27" s="5" t="s">
        <v>314</v>
      </c>
      <c r="E27" s="6" t="s">
        <v>370</v>
      </c>
      <c r="F27" s="6" t="s">
        <v>371</v>
      </c>
      <c r="G27" s="7"/>
      <c r="H27" s="8"/>
      <c r="I27" s="9"/>
      <c r="J27" s="7"/>
      <c r="K27" s="9"/>
      <c r="L27" s="7"/>
      <c r="M27" s="7"/>
      <c r="N27" s="9"/>
      <c r="O27" s="7"/>
    </row>
    <row r="28" ht="26.4" spans="1:15">
      <c r="A28" s="5" t="s">
        <v>372</v>
      </c>
      <c r="B28" s="5">
        <v>3</v>
      </c>
      <c r="C28" s="6" t="s">
        <v>369</v>
      </c>
      <c r="D28" s="5" t="s">
        <v>314</v>
      </c>
      <c r="E28" s="6" t="s">
        <v>373</v>
      </c>
      <c r="F28" s="6" t="s">
        <v>374</v>
      </c>
      <c r="G28" s="7"/>
      <c r="H28" s="8"/>
      <c r="I28" s="9"/>
      <c r="J28" s="7"/>
      <c r="K28" s="9"/>
      <c r="L28" s="7"/>
      <c r="M28" s="7"/>
      <c r="N28" s="9"/>
      <c r="O28" s="7"/>
    </row>
    <row r="29" ht="26.4" spans="1:15">
      <c r="A29" s="5" t="s">
        <v>375</v>
      </c>
      <c r="B29" s="5">
        <v>3</v>
      </c>
      <c r="C29" s="6" t="s">
        <v>369</v>
      </c>
      <c r="D29" s="5" t="s">
        <v>314</v>
      </c>
      <c r="E29" s="6" t="s">
        <v>376</v>
      </c>
      <c r="F29" s="6" t="s">
        <v>377</v>
      </c>
      <c r="G29" s="7"/>
      <c r="H29" s="8"/>
      <c r="I29" s="9"/>
      <c r="J29" s="7"/>
      <c r="K29" s="9"/>
      <c r="L29" s="7"/>
      <c r="M29" s="7"/>
      <c r="N29" s="9"/>
      <c r="O29" s="7"/>
    </row>
    <row r="30" spans="1:15">
      <c r="A30" s="5" t="s">
        <v>378</v>
      </c>
      <c r="B30" s="5">
        <v>3</v>
      </c>
      <c r="C30" s="6" t="s">
        <v>369</v>
      </c>
      <c r="D30" s="5" t="s">
        <v>314</v>
      </c>
      <c r="E30" s="6" t="s">
        <v>379</v>
      </c>
      <c r="F30" s="6" t="s">
        <v>380</v>
      </c>
      <c r="G30" s="7"/>
      <c r="H30" s="8"/>
      <c r="I30" s="9"/>
      <c r="J30" s="7"/>
      <c r="K30" s="9"/>
      <c r="L30" s="7"/>
      <c r="M30" s="7"/>
      <c r="N30" s="9"/>
      <c r="O30" s="7"/>
    </row>
    <row r="31" spans="1:15">
      <c r="A31" s="10" t="s">
        <v>381</v>
      </c>
      <c r="B31" s="10">
        <v>3</v>
      </c>
      <c r="C31" s="11" t="s">
        <v>369</v>
      </c>
      <c r="D31" s="10" t="s">
        <v>320</v>
      </c>
      <c r="E31" s="11" t="s">
        <v>382</v>
      </c>
      <c r="F31" s="11" t="s">
        <v>383</v>
      </c>
      <c r="G31" s="7"/>
      <c r="H31" s="8"/>
      <c r="I31" s="9"/>
      <c r="J31" s="7"/>
      <c r="K31" s="9"/>
      <c r="L31" s="7"/>
      <c r="M31" s="7"/>
      <c r="N31" s="9"/>
      <c r="O31" s="7"/>
    </row>
    <row r="32" spans="1:15">
      <c r="A32" s="10" t="s">
        <v>384</v>
      </c>
      <c r="B32" s="10">
        <v>3</v>
      </c>
      <c r="C32" s="11" t="s">
        <v>369</v>
      </c>
      <c r="D32" s="10" t="s">
        <v>320</v>
      </c>
      <c r="E32" s="11" t="s">
        <v>385</v>
      </c>
      <c r="F32" s="11" t="s">
        <v>58</v>
      </c>
      <c r="G32" s="7"/>
      <c r="H32" s="8"/>
      <c r="I32" s="9"/>
      <c r="J32" s="7"/>
      <c r="K32" s="9"/>
      <c r="L32" s="7"/>
      <c r="M32" s="7"/>
      <c r="N32" s="9"/>
      <c r="O32" s="7"/>
    </row>
    <row r="33" spans="1:15">
      <c r="A33" s="10" t="s">
        <v>386</v>
      </c>
      <c r="B33" s="10">
        <v>3</v>
      </c>
      <c r="C33" s="11" t="s">
        <v>369</v>
      </c>
      <c r="D33" s="10" t="s">
        <v>320</v>
      </c>
      <c r="E33" s="11" t="s">
        <v>387</v>
      </c>
      <c r="F33" s="11" t="s">
        <v>388</v>
      </c>
      <c r="G33" s="7"/>
      <c r="H33" s="8"/>
      <c r="I33" s="9"/>
      <c r="J33" s="7"/>
      <c r="K33" s="9"/>
      <c r="L33" s="7"/>
      <c r="M33" s="7"/>
      <c r="N33" s="9"/>
      <c r="O33" s="7"/>
    </row>
    <row r="34" ht="26.4" spans="1:15">
      <c r="A34" s="10" t="s">
        <v>389</v>
      </c>
      <c r="B34" s="10">
        <v>3</v>
      </c>
      <c r="C34" s="11" t="s">
        <v>369</v>
      </c>
      <c r="D34" s="10" t="s">
        <v>320</v>
      </c>
      <c r="E34" s="11" t="s">
        <v>390</v>
      </c>
      <c r="F34" s="11" t="s">
        <v>391</v>
      </c>
      <c r="G34" s="7"/>
      <c r="H34" s="8"/>
      <c r="I34" s="9"/>
      <c r="J34" s="7"/>
      <c r="K34" s="9"/>
      <c r="L34" s="7"/>
      <c r="M34" s="7"/>
      <c r="N34" s="9"/>
      <c r="O34" s="7"/>
    </row>
    <row r="35" spans="1:15">
      <c r="A35" s="10" t="s">
        <v>392</v>
      </c>
      <c r="B35" s="10">
        <v>3</v>
      </c>
      <c r="C35" s="11" t="s">
        <v>369</v>
      </c>
      <c r="D35" s="10" t="s">
        <v>320</v>
      </c>
      <c r="E35" s="11" t="s">
        <v>393</v>
      </c>
      <c r="F35" s="11" t="s">
        <v>394</v>
      </c>
      <c r="G35" s="7"/>
      <c r="H35" s="8"/>
      <c r="I35" s="9"/>
      <c r="J35" s="7"/>
      <c r="K35" s="9"/>
      <c r="L35" s="7"/>
      <c r="M35" s="7"/>
      <c r="N35" s="9"/>
      <c r="O35" s="7"/>
    </row>
    <row r="36" spans="1:15">
      <c r="A36" s="10" t="s">
        <v>395</v>
      </c>
      <c r="B36" s="10">
        <v>3</v>
      </c>
      <c r="C36" s="11" t="s">
        <v>369</v>
      </c>
      <c r="D36" s="10" t="s">
        <v>320</v>
      </c>
      <c r="E36" s="11" t="s">
        <v>396</v>
      </c>
      <c r="F36" s="11" t="s">
        <v>397</v>
      </c>
      <c r="G36" s="7"/>
      <c r="H36" s="8"/>
      <c r="I36" s="9"/>
      <c r="J36" s="7"/>
      <c r="K36" s="9"/>
      <c r="L36" s="7"/>
      <c r="M36" s="7"/>
      <c r="N36" s="9"/>
      <c r="O36" s="7"/>
    </row>
    <row r="37" ht="26.4" spans="1:15">
      <c r="A37" s="10" t="s">
        <v>398</v>
      </c>
      <c r="B37" s="10">
        <v>3</v>
      </c>
      <c r="C37" s="11" t="s">
        <v>369</v>
      </c>
      <c r="D37" s="10" t="s">
        <v>320</v>
      </c>
      <c r="E37" s="11" t="s">
        <v>399</v>
      </c>
      <c r="F37" s="11" t="s">
        <v>400</v>
      </c>
      <c r="G37" s="7"/>
      <c r="H37" s="8"/>
      <c r="I37" s="9"/>
      <c r="J37" s="7"/>
      <c r="K37" s="9"/>
      <c r="L37" s="7"/>
      <c r="M37" s="7"/>
      <c r="N37" s="9"/>
      <c r="O37" s="7"/>
    </row>
    <row r="38" ht="26.4" spans="1:15">
      <c r="A38" s="10" t="s">
        <v>401</v>
      </c>
      <c r="B38" s="10">
        <v>3</v>
      </c>
      <c r="C38" s="11" t="s">
        <v>369</v>
      </c>
      <c r="D38" s="10" t="s">
        <v>320</v>
      </c>
      <c r="E38" s="11" t="s">
        <v>402</v>
      </c>
      <c r="F38" s="11" t="s">
        <v>403</v>
      </c>
      <c r="G38" s="7"/>
      <c r="H38" s="8"/>
      <c r="I38" s="9"/>
      <c r="J38" s="7"/>
      <c r="K38" s="9"/>
      <c r="L38" s="7"/>
      <c r="M38" s="7"/>
      <c r="N38" s="9"/>
      <c r="O38" s="7"/>
    </row>
    <row r="39" spans="1:15">
      <c r="A39" s="10" t="s">
        <v>404</v>
      </c>
      <c r="B39" s="10">
        <v>3</v>
      </c>
      <c r="C39" s="11" t="s">
        <v>369</v>
      </c>
      <c r="D39" s="10" t="s">
        <v>320</v>
      </c>
      <c r="E39" s="11" t="s">
        <v>405</v>
      </c>
      <c r="F39" s="11" t="s">
        <v>406</v>
      </c>
      <c r="G39" s="7"/>
      <c r="H39" s="8"/>
      <c r="I39" s="9"/>
      <c r="J39" s="7"/>
      <c r="K39" s="9"/>
      <c r="L39" s="7"/>
      <c r="M39" s="7"/>
      <c r="N39" s="9"/>
      <c r="O39" s="7"/>
    </row>
    <row r="40" spans="1:15">
      <c r="A40" s="12" t="s">
        <v>407</v>
      </c>
    </row>
    <row r="41" ht="26.4" spans="1:15">
      <c r="A41" s="5" t="s">
        <v>408</v>
      </c>
      <c r="B41" s="5">
        <v>4</v>
      </c>
      <c r="C41" s="6" t="s">
        <v>277</v>
      </c>
      <c r="D41" s="5" t="s">
        <v>314</v>
      </c>
      <c r="E41" s="6" t="s">
        <v>409</v>
      </c>
      <c r="F41" s="6" t="s">
        <v>410</v>
      </c>
      <c r="G41" s="7"/>
      <c r="H41" s="8"/>
      <c r="I41" s="9"/>
      <c r="J41" s="7"/>
      <c r="K41" s="9"/>
      <c r="L41" s="7"/>
      <c r="M41" s="7"/>
      <c r="N41" s="9"/>
      <c r="O41" s="7"/>
    </row>
    <row r="42" spans="1:15">
      <c r="A42" s="5" t="s">
        <v>411</v>
      </c>
      <c r="B42" s="5">
        <v>4</v>
      </c>
      <c r="C42" s="6" t="s">
        <v>277</v>
      </c>
      <c r="D42" s="5" t="s">
        <v>314</v>
      </c>
      <c r="E42" s="6" t="s">
        <v>412</v>
      </c>
      <c r="F42" s="6" t="s">
        <v>413</v>
      </c>
      <c r="G42" s="7"/>
      <c r="H42" s="8"/>
      <c r="I42" s="9"/>
      <c r="J42" s="7"/>
      <c r="K42" s="9"/>
      <c r="L42" s="7"/>
      <c r="M42" s="7"/>
      <c r="N42" s="9"/>
      <c r="O42" s="7"/>
    </row>
    <row r="43" spans="1:15">
      <c r="A43" s="5" t="s">
        <v>414</v>
      </c>
      <c r="B43" s="5">
        <v>4</v>
      </c>
      <c r="C43" s="6" t="s">
        <v>277</v>
      </c>
      <c r="D43" s="5" t="s">
        <v>314</v>
      </c>
      <c r="E43" s="6" t="s">
        <v>415</v>
      </c>
      <c r="F43" s="6" t="s">
        <v>416</v>
      </c>
      <c r="G43" s="7"/>
      <c r="H43" s="8"/>
      <c r="I43" s="9"/>
      <c r="J43" s="7"/>
      <c r="K43" s="9"/>
      <c r="L43" s="7"/>
      <c r="M43" s="7"/>
      <c r="N43" s="9"/>
      <c r="O43" s="7"/>
    </row>
    <row r="44" spans="1:15">
      <c r="A44" s="5" t="s">
        <v>417</v>
      </c>
      <c r="B44" s="5">
        <v>4</v>
      </c>
      <c r="C44" s="6" t="s">
        <v>277</v>
      </c>
      <c r="D44" s="5" t="s">
        <v>314</v>
      </c>
      <c r="E44" s="6" t="s">
        <v>418</v>
      </c>
      <c r="F44" s="6" t="s">
        <v>419</v>
      </c>
      <c r="G44" s="7"/>
      <c r="H44" s="8"/>
      <c r="I44" s="9"/>
      <c r="J44" s="7"/>
      <c r="K44" s="9"/>
      <c r="L44" s="7"/>
      <c r="M44" s="7"/>
      <c r="N44" s="9"/>
      <c r="O44" s="7"/>
    </row>
    <row r="45" ht="26.4" spans="1:15">
      <c r="A45" s="10" t="s">
        <v>420</v>
      </c>
      <c r="B45" s="10">
        <v>4</v>
      </c>
      <c r="C45" s="11" t="s">
        <v>277</v>
      </c>
      <c r="D45" s="10" t="s">
        <v>320</v>
      </c>
      <c r="E45" s="11" t="s">
        <v>421</v>
      </c>
      <c r="F45" s="11" t="s">
        <v>422</v>
      </c>
      <c r="G45" s="7"/>
      <c r="H45" s="8"/>
      <c r="I45" s="9"/>
      <c r="J45" s="7"/>
      <c r="K45" s="9"/>
      <c r="L45" s="7"/>
      <c r="M45" s="7"/>
      <c r="N45" s="9"/>
      <c r="O45" s="7"/>
    </row>
    <row r="46" ht="26.4" spans="1:15">
      <c r="A46" s="10" t="s">
        <v>423</v>
      </c>
      <c r="B46" s="10">
        <v>4</v>
      </c>
      <c r="C46" s="11" t="s">
        <v>277</v>
      </c>
      <c r="D46" s="10" t="s">
        <v>320</v>
      </c>
      <c r="E46" s="11" t="s">
        <v>424</v>
      </c>
      <c r="F46" s="11" t="s">
        <v>425</v>
      </c>
      <c r="G46" s="7"/>
      <c r="H46" s="8"/>
      <c r="I46" s="9"/>
      <c r="J46" s="7"/>
      <c r="K46" s="9"/>
      <c r="L46" s="7"/>
      <c r="M46" s="7"/>
      <c r="N46" s="9"/>
      <c r="O46" s="7"/>
    </row>
    <row r="47" ht="26.4" spans="1:15">
      <c r="A47" s="10" t="s">
        <v>426</v>
      </c>
      <c r="B47" s="10">
        <v>4</v>
      </c>
      <c r="C47" s="11" t="s">
        <v>277</v>
      </c>
      <c r="D47" s="10" t="s">
        <v>320</v>
      </c>
      <c r="E47" s="11" t="s">
        <v>427</v>
      </c>
      <c r="F47" s="11" t="s">
        <v>428</v>
      </c>
      <c r="G47" s="7"/>
      <c r="H47" s="8"/>
      <c r="I47" s="9"/>
      <c r="J47" s="7"/>
      <c r="K47" s="9"/>
      <c r="L47" s="7"/>
      <c r="M47" s="7"/>
      <c r="N47" s="9"/>
      <c r="O47" s="7"/>
    </row>
    <row r="48" spans="1:15">
      <c r="A48" s="10" t="s">
        <v>429</v>
      </c>
      <c r="B48" s="10">
        <v>4</v>
      </c>
      <c r="C48" s="11" t="s">
        <v>277</v>
      </c>
      <c r="D48" s="10" t="s">
        <v>320</v>
      </c>
      <c r="E48" s="11" t="s">
        <v>430</v>
      </c>
      <c r="F48" s="11" t="s">
        <v>431</v>
      </c>
      <c r="G48" s="7"/>
      <c r="H48" s="8"/>
      <c r="I48" s="9"/>
      <c r="J48" s="7"/>
      <c r="K48" s="9"/>
      <c r="L48" s="7"/>
      <c r="M48" s="7"/>
      <c r="N48" s="9"/>
      <c r="O48" s="7"/>
    </row>
    <row r="49" spans="1:15">
      <c r="A49" s="10" t="s">
        <v>432</v>
      </c>
      <c r="B49" s="10">
        <v>4</v>
      </c>
      <c r="C49" s="11" t="s">
        <v>277</v>
      </c>
      <c r="D49" s="10" t="s">
        <v>320</v>
      </c>
      <c r="E49" s="11" t="s">
        <v>433</v>
      </c>
      <c r="F49" s="11" t="s">
        <v>434</v>
      </c>
      <c r="G49" s="7"/>
      <c r="H49" s="8"/>
      <c r="I49" s="9"/>
      <c r="J49" s="7"/>
      <c r="K49" s="9"/>
      <c r="L49" s="7"/>
      <c r="M49" s="7"/>
      <c r="N49" s="9"/>
      <c r="O49" s="7"/>
    </row>
    <row r="50" spans="1:15">
      <c r="A50" s="10" t="s">
        <v>435</v>
      </c>
      <c r="B50" s="10">
        <v>4</v>
      </c>
      <c r="C50" s="11" t="s">
        <v>277</v>
      </c>
      <c r="D50" s="10" t="s">
        <v>320</v>
      </c>
      <c r="E50" s="11" t="s">
        <v>436</v>
      </c>
      <c r="F50" s="11" t="s">
        <v>58</v>
      </c>
      <c r="G50" s="7"/>
      <c r="H50" s="8"/>
      <c r="I50" s="9"/>
      <c r="J50" s="7"/>
      <c r="K50" s="9"/>
      <c r="L50" s="7"/>
      <c r="M50" s="7"/>
      <c r="N50" s="9"/>
      <c r="O50" s="7"/>
    </row>
    <row r="51" ht="26.4" spans="1:15">
      <c r="A51" s="10" t="s">
        <v>437</v>
      </c>
      <c r="B51" s="10">
        <v>4</v>
      </c>
      <c r="C51" s="11" t="s">
        <v>277</v>
      </c>
      <c r="D51" s="10" t="s">
        <v>320</v>
      </c>
      <c r="E51" s="11" t="s">
        <v>438</v>
      </c>
      <c r="F51" s="11" t="s">
        <v>439</v>
      </c>
      <c r="G51" s="7"/>
      <c r="H51" s="8"/>
      <c r="I51" s="9"/>
      <c r="J51" s="7"/>
      <c r="K51" s="9"/>
      <c r="L51" s="7"/>
      <c r="M51" s="7"/>
      <c r="N51" s="9"/>
      <c r="O51" s="7"/>
    </row>
    <row r="52" spans="1:15">
      <c r="A52" s="10" t="s">
        <v>440</v>
      </c>
      <c r="B52" s="10">
        <v>4</v>
      </c>
      <c r="C52" s="11" t="s">
        <v>277</v>
      </c>
      <c r="D52" s="10" t="s">
        <v>320</v>
      </c>
      <c r="E52" s="11" t="s">
        <v>441</v>
      </c>
      <c r="F52" s="11" t="s">
        <v>442</v>
      </c>
      <c r="G52" s="7"/>
      <c r="H52" s="8"/>
      <c r="I52" s="9"/>
      <c r="J52" s="7"/>
      <c r="K52" s="9"/>
      <c r="L52" s="7"/>
      <c r="M52" s="7"/>
      <c r="N52" s="9"/>
      <c r="O52" s="7"/>
    </row>
    <row r="53" spans="1:15">
      <c r="A53" s="10" t="s">
        <v>443</v>
      </c>
      <c r="B53" s="10">
        <v>4</v>
      </c>
      <c r="C53" s="11" t="s">
        <v>277</v>
      </c>
      <c r="D53" s="10" t="s">
        <v>320</v>
      </c>
      <c r="E53" s="11" t="s">
        <v>444</v>
      </c>
      <c r="F53" s="11" t="s">
        <v>445</v>
      </c>
      <c r="G53" s="7"/>
      <c r="H53" s="8"/>
      <c r="I53" s="9"/>
      <c r="J53" s="7"/>
      <c r="K53" s="9"/>
      <c r="L53" s="7"/>
      <c r="M53" s="7"/>
      <c r="N53" s="9"/>
      <c r="O53" s="7"/>
    </row>
    <row r="54" spans="1:15">
      <c r="A54" s="10" t="s">
        <v>446</v>
      </c>
      <c r="B54" s="10">
        <v>4</v>
      </c>
      <c r="C54" s="11" t="s">
        <v>277</v>
      </c>
      <c r="D54" s="10" t="s">
        <v>320</v>
      </c>
      <c r="E54" s="11" t="s">
        <v>447</v>
      </c>
      <c r="F54" s="11" t="s">
        <v>448</v>
      </c>
      <c r="G54" s="7"/>
      <c r="H54" s="8"/>
      <c r="I54" s="9"/>
      <c r="J54" s="7"/>
      <c r="K54" s="9"/>
      <c r="L54" s="7"/>
      <c r="M54" s="7"/>
      <c r="N54" s="9"/>
      <c r="O54" s="7"/>
    </row>
    <row r="55" spans="1:15">
      <c r="A55" s="12" t="s">
        <v>449</v>
      </c>
    </row>
    <row r="56" ht="26.4" spans="1:15">
      <c r="A56" s="5" t="s">
        <v>450</v>
      </c>
      <c r="B56" s="5">
        <v>5</v>
      </c>
      <c r="C56" s="6" t="s">
        <v>451</v>
      </c>
      <c r="D56" s="5" t="s">
        <v>314</v>
      </c>
      <c r="E56" s="6" t="s">
        <v>452</v>
      </c>
      <c r="F56" s="6" t="s">
        <v>453</v>
      </c>
      <c r="G56" s="7"/>
      <c r="H56" s="8"/>
      <c r="I56" s="9"/>
      <c r="J56" s="7"/>
      <c r="K56" s="9"/>
      <c r="L56" s="7"/>
      <c r="M56" s="7"/>
      <c r="N56" s="9"/>
      <c r="O56" s="7"/>
    </row>
    <row r="57" ht="26.4" spans="1:15">
      <c r="A57" s="5" t="s">
        <v>454</v>
      </c>
      <c r="B57" s="5">
        <v>5</v>
      </c>
      <c r="C57" s="6" t="s">
        <v>451</v>
      </c>
      <c r="D57" s="5" t="s">
        <v>314</v>
      </c>
      <c r="E57" s="6" t="s">
        <v>455</v>
      </c>
      <c r="F57" s="6" t="s">
        <v>456</v>
      </c>
      <c r="G57" s="7"/>
      <c r="H57" s="8"/>
      <c r="I57" s="9"/>
      <c r="J57" s="7"/>
      <c r="K57" s="9"/>
      <c r="L57" s="7"/>
      <c r="M57" s="7"/>
      <c r="N57" s="9"/>
      <c r="O57" s="7"/>
    </row>
    <row r="58" ht="26.4" spans="1:15">
      <c r="A58" s="10" t="s">
        <v>457</v>
      </c>
      <c r="B58" s="10">
        <v>5</v>
      </c>
      <c r="C58" s="11" t="s">
        <v>451</v>
      </c>
      <c r="D58" s="10" t="s">
        <v>320</v>
      </c>
      <c r="E58" s="11" t="s">
        <v>458</v>
      </c>
      <c r="F58" s="11" t="s">
        <v>459</v>
      </c>
      <c r="G58" s="7"/>
      <c r="H58" s="8"/>
      <c r="I58" s="9"/>
      <c r="J58" s="7"/>
      <c r="K58" s="9"/>
      <c r="L58" s="7"/>
      <c r="M58" s="7"/>
      <c r="N58" s="9"/>
      <c r="O58" s="7"/>
    </row>
    <row r="59" spans="1:15">
      <c r="A59" s="10" t="s">
        <v>460</v>
      </c>
      <c r="B59" s="10">
        <v>5</v>
      </c>
      <c r="C59" s="11" t="s">
        <v>451</v>
      </c>
      <c r="D59" s="10" t="s">
        <v>320</v>
      </c>
      <c r="E59" s="11" t="s">
        <v>461</v>
      </c>
      <c r="F59" s="11" t="s">
        <v>462</v>
      </c>
      <c r="G59" s="7"/>
      <c r="H59" s="8"/>
      <c r="I59" s="9"/>
      <c r="J59" s="7"/>
      <c r="K59" s="9"/>
      <c r="L59" s="7"/>
      <c r="M59" s="7"/>
      <c r="N59" s="9"/>
      <c r="O59" s="7"/>
    </row>
    <row r="60" spans="1:15">
      <c r="A60" s="12" t="s">
        <v>463</v>
      </c>
    </row>
    <row r="61" spans="1:15">
      <c r="A61" s="5" t="s">
        <v>464</v>
      </c>
      <c r="B61" s="5">
        <v>6</v>
      </c>
      <c r="C61" s="6" t="s">
        <v>465</v>
      </c>
      <c r="D61" s="5" t="s">
        <v>314</v>
      </c>
      <c r="E61" s="6" t="s">
        <v>466</v>
      </c>
      <c r="F61" s="6" t="s">
        <v>467</v>
      </c>
      <c r="G61" s="7"/>
      <c r="H61" s="8"/>
      <c r="I61" s="9"/>
      <c r="J61" s="7"/>
      <c r="K61" s="9"/>
      <c r="L61" s="7"/>
      <c r="M61" s="7"/>
      <c r="N61" s="9"/>
      <c r="O61" s="7"/>
    </row>
    <row r="62" spans="1:15">
      <c r="A62" s="5" t="s">
        <v>468</v>
      </c>
      <c r="B62" s="5">
        <v>6</v>
      </c>
      <c r="C62" s="6" t="s">
        <v>465</v>
      </c>
      <c r="D62" s="5" t="s">
        <v>314</v>
      </c>
      <c r="E62" s="6" t="s">
        <v>469</v>
      </c>
      <c r="F62" s="6" t="s">
        <v>470</v>
      </c>
      <c r="G62" s="7"/>
      <c r="H62" s="8"/>
      <c r="I62" s="9"/>
      <c r="J62" s="7"/>
      <c r="K62" s="9"/>
      <c r="L62" s="7"/>
      <c r="M62" s="7"/>
      <c r="N62" s="9"/>
      <c r="O62" s="7"/>
    </row>
    <row r="63" spans="1:15">
      <c r="A63" s="5" t="s">
        <v>471</v>
      </c>
      <c r="B63" s="5">
        <v>6</v>
      </c>
      <c r="C63" s="6" t="s">
        <v>465</v>
      </c>
      <c r="D63" s="5" t="s">
        <v>314</v>
      </c>
      <c r="E63" s="6" t="s">
        <v>472</v>
      </c>
      <c r="F63" s="6" t="s">
        <v>473</v>
      </c>
      <c r="G63" s="7"/>
      <c r="H63" s="8"/>
      <c r="I63" s="9"/>
      <c r="J63" s="7"/>
      <c r="K63" s="9"/>
      <c r="L63" s="7"/>
      <c r="M63" s="7"/>
      <c r="N63" s="9"/>
      <c r="O63" s="7"/>
    </row>
    <row r="64" ht="26.4" spans="1:15">
      <c r="A64" s="5" t="s">
        <v>474</v>
      </c>
      <c r="B64" s="5">
        <v>6</v>
      </c>
      <c r="C64" s="6" t="s">
        <v>465</v>
      </c>
      <c r="D64" s="5" t="s">
        <v>314</v>
      </c>
      <c r="E64" s="6" t="s">
        <v>475</v>
      </c>
      <c r="F64" s="6" t="s">
        <v>476</v>
      </c>
      <c r="G64" s="7"/>
      <c r="H64" s="8"/>
      <c r="I64" s="9"/>
      <c r="J64" s="7"/>
      <c r="K64" s="9"/>
      <c r="L64" s="7"/>
      <c r="M64" s="7"/>
      <c r="N64" s="9"/>
      <c r="O64" s="7"/>
    </row>
    <row r="65" ht="26.4" spans="1:15">
      <c r="A65" s="5" t="s">
        <v>477</v>
      </c>
      <c r="B65" s="5">
        <v>6</v>
      </c>
      <c r="C65" s="6" t="s">
        <v>465</v>
      </c>
      <c r="D65" s="5" t="s">
        <v>314</v>
      </c>
      <c r="E65" s="6" t="s">
        <v>478</v>
      </c>
      <c r="F65" s="6" t="s">
        <v>479</v>
      </c>
      <c r="G65" s="7"/>
      <c r="H65" s="8"/>
      <c r="I65" s="9"/>
      <c r="J65" s="7"/>
      <c r="K65" s="9"/>
      <c r="L65" s="7"/>
      <c r="M65" s="7"/>
      <c r="N65" s="9"/>
      <c r="O65" s="7"/>
    </row>
    <row r="66" ht="26.4" spans="1:15">
      <c r="A66" s="10" t="s">
        <v>480</v>
      </c>
      <c r="B66" s="10">
        <v>6</v>
      </c>
      <c r="C66" s="11" t="s">
        <v>465</v>
      </c>
      <c r="D66" s="10" t="s">
        <v>320</v>
      </c>
      <c r="E66" s="11" t="s">
        <v>481</v>
      </c>
      <c r="F66" s="11" t="s">
        <v>482</v>
      </c>
      <c r="G66" s="7"/>
      <c r="H66" s="8"/>
      <c r="I66" s="9"/>
      <c r="J66" s="7"/>
      <c r="K66" s="9"/>
      <c r="L66" s="7"/>
      <c r="M66" s="7"/>
      <c r="N66" s="9"/>
      <c r="O66" s="7"/>
    </row>
    <row r="67" spans="1:15">
      <c r="A67" s="10" t="s">
        <v>483</v>
      </c>
      <c r="B67" s="10">
        <v>6</v>
      </c>
      <c r="C67" s="11" t="s">
        <v>465</v>
      </c>
      <c r="D67" s="10" t="s">
        <v>320</v>
      </c>
      <c r="E67" s="11" t="s">
        <v>484</v>
      </c>
      <c r="F67" s="11" t="s">
        <v>485</v>
      </c>
      <c r="G67" s="7"/>
      <c r="H67" s="8"/>
      <c r="I67" s="9"/>
      <c r="J67" s="7"/>
      <c r="K67" s="9"/>
      <c r="L67" s="7"/>
      <c r="M67" s="7"/>
      <c r="N67" s="9"/>
      <c r="O67" s="7"/>
    </row>
    <row r="68" spans="1:15">
      <c r="A68" s="10" t="s">
        <v>486</v>
      </c>
      <c r="B68" s="10">
        <v>6</v>
      </c>
      <c r="C68" s="11" t="s">
        <v>465</v>
      </c>
      <c r="D68" s="10" t="s">
        <v>320</v>
      </c>
      <c r="E68" s="11" t="s">
        <v>487</v>
      </c>
      <c r="F68" s="11" t="s">
        <v>488</v>
      </c>
      <c r="G68" s="7"/>
      <c r="H68" s="8"/>
      <c r="I68" s="9"/>
      <c r="J68" s="7"/>
      <c r="K68" s="9"/>
      <c r="L68" s="7"/>
      <c r="M68" s="7"/>
      <c r="N68" s="9"/>
      <c r="O68" s="7"/>
    </row>
    <row r="69" ht="26.4" spans="1:15">
      <c r="A69" s="10" t="s">
        <v>489</v>
      </c>
      <c r="B69" s="10">
        <v>6</v>
      </c>
      <c r="C69" s="11" t="s">
        <v>465</v>
      </c>
      <c r="D69" s="10" t="s">
        <v>320</v>
      </c>
      <c r="E69" s="11" t="s">
        <v>490</v>
      </c>
      <c r="F69" s="11" t="s">
        <v>491</v>
      </c>
      <c r="G69" s="7"/>
      <c r="H69" s="8"/>
      <c r="I69" s="9"/>
      <c r="J69" s="7"/>
      <c r="K69" s="9"/>
      <c r="L69" s="7"/>
      <c r="M69" s="7"/>
      <c r="N69" s="9"/>
      <c r="O69" s="7"/>
    </row>
    <row r="70" spans="1:15">
      <c r="A70" s="10" t="s">
        <v>492</v>
      </c>
      <c r="B70" s="10">
        <v>6</v>
      </c>
      <c r="C70" s="11" t="s">
        <v>465</v>
      </c>
      <c r="D70" s="10" t="s">
        <v>320</v>
      </c>
      <c r="E70" s="11" t="s">
        <v>493</v>
      </c>
      <c r="F70" s="11" t="s">
        <v>494</v>
      </c>
      <c r="G70" s="7"/>
      <c r="H70" s="8"/>
      <c r="I70" s="9"/>
      <c r="J70" s="7"/>
      <c r="K70" s="9"/>
      <c r="L70" s="7"/>
      <c r="M70" s="7"/>
      <c r="N70" s="9"/>
      <c r="O70" s="7"/>
    </row>
    <row r="71" ht="26.4" spans="1:15">
      <c r="A71" s="10" t="s">
        <v>495</v>
      </c>
      <c r="B71" s="10">
        <v>6</v>
      </c>
      <c r="C71" s="11" t="s">
        <v>465</v>
      </c>
      <c r="D71" s="10" t="s">
        <v>320</v>
      </c>
      <c r="E71" s="11" t="s">
        <v>496</v>
      </c>
      <c r="F71" s="11" t="s">
        <v>58</v>
      </c>
      <c r="G71" s="7"/>
      <c r="H71" s="8"/>
      <c r="I71" s="9"/>
      <c r="J71" s="7"/>
      <c r="K71" s="9"/>
      <c r="L71" s="7"/>
      <c r="M71" s="7"/>
      <c r="N71" s="9"/>
      <c r="O71" s="7"/>
    </row>
    <row r="72" spans="1:15">
      <c r="A72" s="10" t="s">
        <v>497</v>
      </c>
      <c r="B72" s="10">
        <v>6</v>
      </c>
      <c r="C72" s="11" t="s">
        <v>465</v>
      </c>
      <c r="D72" s="10" t="s">
        <v>320</v>
      </c>
      <c r="E72" s="11" t="s">
        <v>498</v>
      </c>
      <c r="F72" s="11" t="s">
        <v>499</v>
      </c>
      <c r="G72" s="7"/>
      <c r="H72" s="8"/>
      <c r="I72" s="9"/>
      <c r="J72" s="7"/>
      <c r="K72" s="9"/>
      <c r="L72" s="7"/>
      <c r="M72" s="7"/>
      <c r="N72" s="9"/>
      <c r="O72" s="7"/>
    </row>
    <row r="73" spans="1:15">
      <c r="A73" s="10" t="s">
        <v>500</v>
      </c>
      <c r="B73" s="10">
        <v>6</v>
      </c>
      <c r="C73" s="11" t="s">
        <v>465</v>
      </c>
      <c r="D73" s="10" t="s">
        <v>320</v>
      </c>
      <c r="E73" s="11" t="s">
        <v>501</v>
      </c>
      <c r="F73" s="11" t="s">
        <v>502</v>
      </c>
      <c r="G73" s="7"/>
      <c r="H73" s="8"/>
      <c r="I73" s="9"/>
      <c r="J73" s="7"/>
      <c r="K73" s="9"/>
      <c r="L73" s="7"/>
      <c r="M73" s="7"/>
      <c r="N73" s="9"/>
      <c r="O73" s="7"/>
    </row>
    <row r="74" spans="1:15">
      <c r="A74" s="10" t="s">
        <v>503</v>
      </c>
      <c r="B74" s="10">
        <v>6</v>
      </c>
      <c r="C74" s="11" t="s">
        <v>465</v>
      </c>
      <c r="D74" s="10" t="s">
        <v>320</v>
      </c>
      <c r="E74" s="11" t="s">
        <v>504</v>
      </c>
      <c r="F74" s="11" t="s">
        <v>505</v>
      </c>
      <c r="G74" s="7"/>
      <c r="H74" s="8"/>
      <c r="I74" s="9"/>
      <c r="J74" s="7"/>
      <c r="K74" s="9"/>
      <c r="L74" s="7"/>
      <c r="M74" s="7"/>
      <c r="N74" s="9"/>
      <c r="O74" s="7"/>
    </row>
    <row r="75" ht="26.4" spans="1:15">
      <c r="A75" s="10" t="s">
        <v>506</v>
      </c>
      <c r="B75" s="10">
        <v>6</v>
      </c>
      <c r="C75" s="11" t="s">
        <v>507</v>
      </c>
      <c r="D75" s="10" t="s">
        <v>320</v>
      </c>
      <c r="E75" s="11" t="s">
        <v>508</v>
      </c>
      <c r="F75" s="11" t="s">
        <v>509</v>
      </c>
      <c r="G75" s="7"/>
      <c r="H75" s="8"/>
      <c r="I75" s="9"/>
      <c r="J75" s="7"/>
      <c r="K75" s="9"/>
      <c r="L75" s="7"/>
      <c r="M75" s="7"/>
      <c r="N75" s="9"/>
      <c r="O75" s="7"/>
    </row>
    <row r="76" ht="26.4" spans="1:15">
      <c r="A76" s="10" t="s">
        <v>510</v>
      </c>
      <c r="B76" s="10">
        <v>6</v>
      </c>
      <c r="C76" s="11" t="s">
        <v>507</v>
      </c>
      <c r="D76" s="10" t="s">
        <v>320</v>
      </c>
      <c r="E76" s="11" t="s">
        <v>511</v>
      </c>
      <c r="F76" s="11" t="s">
        <v>512</v>
      </c>
      <c r="G76" s="7"/>
      <c r="H76" s="8"/>
      <c r="I76" s="9"/>
      <c r="J76" s="7"/>
      <c r="K76" s="9"/>
      <c r="L76" s="7"/>
      <c r="M76" s="7"/>
      <c r="N76" s="9"/>
      <c r="O76" s="7"/>
    </row>
    <row r="77" spans="1:15">
      <c r="A77" s="10" t="s">
        <v>513</v>
      </c>
      <c r="B77" s="10">
        <v>6</v>
      </c>
      <c r="C77" s="11" t="s">
        <v>507</v>
      </c>
      <c r="D77" s="10" t="s">
        <v>320</v>
      </c>
      <c r="E77" s="11" t="s">
        <v>514</v>
      </c>
      <c r="F77" s="11" t="s">
        <v>515</v>
      </c>
      <c r="G77" s="7"/>
      <c r="H77" s="8"/>
      <c r="I77" s="9"/>
      <c r="J77" s="7"/>
      <c r="K77" s="9"/>
      <c r="L77" s="7"/>
      <c r="M77" s="7"/>
      <c r="N77" s="9"/>
      <c r="O77" s="7"/>
    </row>
    <row r="78" ht="26.4" spans="1:15">
      <c r="A78" s="10" t="s">
        <v>516</v>
      </c>
      <c r="B78" s="10">
        <v>6</v>
      </c>
      <c r="C78" s="11" t="s">
        <v>517</v>
      </c>
      <c r="D78" s="10" t="s">
        <v>320</v>
      </c>
      <c r="E78" s="11" t="s">
        <v>518</v>
      </c>
      <c r="F78" s="11" t="s">
        <v>519</v>
      </c>
      <c r="G78" s="7"/>
      <c r="H78" s="8"/>
      <c r="I78" s="9"/>
      <c r="J78" s="7"/>
      <c r="K78" s="9"/>
      <c r="L78" s="7"/>
      <c r="M78" s="7"/>
      <c r="N78" s="9"/>
      <c r="O78" s="7"/>
    </row>
    <row r="79" spans="1:15">
      <c r="A79" s="12" t="s">
        <v>520</v>
      </c>
    </row>
    <row r="80" ht="26.4" spans="1:15">
      <c r="A80" s="5" t="s">
        <v>521</v>
      </c>
      <c r="B80" s="5">
        <v>7</v>
      </c>
      <c r="C80" s="6" t="s">
        <v>522</v>
      </c>
      <c r="D80" s="5" t="s">
        <v>314</v>
      </c>
      <c r="E80" s="6" t="s">
        <v>523</v>
      </c>
      <c r="F80" s="6" t="s">
        <v>524</v>
      </c>
      <c r="G80" s="7"/>
      <c r="H80" s="8"/>
      <c r="I80" s="9"/>
      <c r="J80" s="7"/>
      <c r="K80" s="9"/>
      <c r="L80" s="7"/>
      <c r="M80" s="7"/>
      <c r="N80" s="9"/>
      <c r="O80" s="7"/>
    </row>
    <row r="81" ht="26.4" spans="1:15">
      <c r="A81" s="5" t="s">
        <v>525</v>
      </c>
      <c r="B81" s="5">
        <v>7</v>
      </c>
      <c r="C81" s="6" t="s">
        <v>522</v>
      </c>
      <c r="D81" s="5" t="s">
        <v>314</v>
      </c>
      <c r="E81" s="6" t="s">
        <v>526</v>
      </c>
      <c r="F81" s="6" t="s">
        <v>527</v>
      </c>
      <c r="G81" s="7"/>
      <c r="H81" s="8"/>
      <c r="I81" s="9"/>
      <c r="J81" s="7"/>
      <c r="K81" s="9"/>
      <c r="L81" s="7"/>
      <c r="M81" s="7"/>
      <c r="N81" s="9"/>
      <c r="O81" s="7"/>
    </row>
    <row r="82" spans="1:15">
      <c r="A82" s="10" t="s">
        <v>528</v>
      </c>
      <c r="B82" s="10">
        <v>7</v>
      </c>
      <c r="C82" s="11" t="s">
        <v>522</v>
      </c>
      <c r="D82" s="10" t="s">
        <v>320</v>
      </c>
      <c r="E82" s="11" t="s">
        <v>529</v>
      </c>
      <c r="F82" s="11" t="s">
        <v>58</v>
      </c>
      <c r="G82" s="7"/>
      <c r="H82" s="8"/>
      <c r="I82" s="9"/>
      <c r="J82" s="7"/>
      <c r="K82" s="9"/>
      <c r="L82" s="7"/>
      <c r="M82" s="7"/>
      <c r="N82" s="9"/>
      <c r="O82" s="7"/>
    </row>
    <row r="83" ht="26.4" spans="1:15">
      <c r="A83" s="10" t="s">
        <v>530</v>
      </c>
      <c r="B83" s="10">
        <v>7</v>
      </c>
      <c r="C83" s="11" t="s">
        <v>522</v>
      </c>
      <c r="D83" s="10" t="s">
        <v>320</v>
      </c>
      <c r="E83" s="11" t="s">
        <v>531</v>
      </c>
      <c r="F83" s="11" t="s">
        <v>58</v>
      </c>
      <c r="G83" s="7"/>
      <c r="H83" s="8"/>
      <c r="I83" s="9"/>
      <c r="J83" s="7"/>
      <c r="K83" s="9"/>
      <c r="L83" s="7"/>
      <c r="M83" s="7"/>
      <c r="N83" s="9"/>
      <c r="O83" s="7"/>
    </row>
    <row r="84" spans="1:15">
      <c r="A84" s="10" t="s">
        <v>532</v>
      </c>
      <c r="B84" s="10">
        <v>7</v>
      </c>
      <c r="C84" s="11" t="s">
        <v>522</v>
      </c>
      <c r="D84" s="10" t="s">
        <v>320</v>
      </c>
      <c r="E84" s="11" t="s">
        <v>533</v>
      </c>
      <c r="F84" s="11" t="s">
        <v>534</v>
      </c>
      <c r="G84" s="7"/>
      <c r="H84" s="8"/>
      <c r="I84" s="9"/>
      <c r="J84" s="7"/>
      <c r="K84" s="9"/>
      <c r="L84" s="7"/>
      <c r="M84" s="7"/>
      <c r="N84" s="9"/>
      <c r="O84" s="7"/>
    </row>
    <row r="85" ht="26.4" spans="1:15">
      <c r="A85" s="10" t="s">
        <v>535</v>
      </c>
      <c r="B85" s="10">
        <v>7</v>
      </c>
      <c r="C85" s="11" t="s">
        <v>522</v>
      </c>
      <c r="D85" s="10" t="s">
        <v>320</v>
      </c>
      <c r="E85" s="11" t="s">
        <v>536</v>
      </c>
      <c r="F85" s="11" t="s">
        <v>537</v>
      </c>
      <c r="G85" s="7"/>
      <c r="H85" s="8"/>
      <c r="I85" s="9"/>
      <c r="J85" s="7"/>
      <c r="K85" s="9"/>
      <c r="L85" s="7"/>
      <c r="M85" s="7"/>
      <c r="N85" s="9"/>
      <c r="O85" s="7"/>
    </row>
    <row r="86" spans="1:15">
      <c r="A86" s="10" t="s">
        <v>538</v>
      </c>
      <c r="B86" s="10">
        <v>7</v>
      </c>
      <c r="C86" s="11" t="s">
        <v>522</v>
      </c>
      <c r="D86" s="10" t="s">
        <v>320</v>
      </c>
      <c r="E86" s="11" t="s">
        <v>539</v>
      </c>
      <c r="F86" s="11" t="s">
        <v>540</v>
      </c>
      <c r="G86" s="7"/>
      <c r="H86" s="8"/>
      <c r="I86" s="9"/>
      <c r="J86" s="7"/>
      <c r="K86" s="9"/>
      <c r="L86" s="7"/>
      <c r="M86" s="7"/>
      <c r="N86" s="9"/>
      <c r="O86" s="7"/>
    </row>
    <row r="87" ht="26.4" spans="1:15">
      <c r="A87" s="10" t="s">
        <v>541</v>
      </c>
      <c r="B87" s="10">
        <v>7</v>
      </c>
      <c r="C87" s="11" t="s">
        <v>522</v>
      </c>
      <c r="D87" s="10" t="s">
        <v>320</v>
      </c>
      <c r="E87" s="11" t="s">
        <v>542</v>
      </c>
      <c r="F87" s="11" t="s">
        <v>58</v>
      </c>
      <c r="G87" s="7"/>
      <c r="H87" s="8"/>
      <c r="I87" s="9"/>
      <c r="J87" s="7"/>
      <c r="K87" s="9"/>
      <c r="L87" s="7"/>
      <c r="M87" s="7"/>
      <c r="N87" s="9"/>
      <c r="O87" s="7"/>
    </row>
    <row r="88" spans="1:15">
      <c r="A88" s="12" t="s">
        <v>543</v>
      </c>
    </row>
    <row r="89" ht="26.4" spans="1:15">
      <c r="A89" s="5" t="s">
        <v>544</v>
      </c>
      <c r="B89" s="5">
        <v>8</v>
      </c>
      <c r="C89" s="6" t="s">
        <v>545</v>
      </c>
      <c r="D89" s="5" t="s">
        <v>314</v>
      </c>
      <c r="E89" s="6" t="s">
        <v>546</v>
      </c>
      <c r="F89" s="6" t="s">
        <v>547</v>
      </c>
      <c r="G89" s="7"/>
      <c r="H89" s="8"/>
      <c r="I89" s="9"/>
      <c r="J89" s="7"/>
      <c r="K89" s="9"/>
      <c r="L89" s="7"/>
      <c r="M89" s="7"/>
      <c r="N89" s="9"/>
      <c r="O89" s="7"/>
    </row>
    <row r="90" spans="1:15">
      <c r="A90" s="10" t="s">
        <v>548</v>
      </c>
      <c r="B90" s="10">
        <v>8</v>
      </c>
      <c r="C90" s="11" t="s">
        <v>545</v>
      </c>
      <c r="D90" s="10" t="s">
        <v>320</v>
      </c>
      <c r="E90" s="11" t="s">
        <v>549</v>
      </c>
      <c r="F90" s="11" t="s">
        <v>550</v>
      </c>
      <c r="G90" s="7"/>
      <c r="H90" s="8"/>
      <c r="I90" s="9"/>
      <c r="J90" s="7"/>
      <c r="K90" s="9"/>
      <c r="L90" s="7"/>
      <c r="M90" s="7"/>
      <c r="N90" s="9"/>
      <c r="O90" s="7"/>
    </row>
    <row r="91" spans="1:15">
      <c r="A91" s="12" t="s">
        <v>551</v>
      </c>
    </row>
    <row r="92" ht="26.4" spans="1:15">
      <c r="A92" s="5" t="s">
        <v>552</v>
      </c>
      <c r="B92" s="5">
        <v>9</v>
      </c>
      <c r="C92" s="6" t="s">
        <v>553</v>
      </c>
      <c r="D92" s="5" t="s">
        <v>314</v>
      </c>
      <c r="E92" s="6" t="s">
        <v>554</v>
      </c>
      <c r="F92" s="6" t="s">
        <v>555</v>
      </c>
      <c r="G92" s="7"/>
      <c r="H92" s="8"/>
      <c r="I92" s="9"/>
      <c r="J92" s="7"/>
      <c r="K92" s="9"/>
      <c r="L92" s="7"/>
      <c r="M92" s="7"/>
      <c r="N92" s="9"/>
      <c r="O92" s="7"/>
    </row>
    <row r="93" ht="26.4" spans="1:15">
      <c r="A93" s="5" t="s">
        <v>556</v>
      </c>
      <c r="B93" s="5">
        <v>9</v>
      </c>
      <c r="C93" s="6" t="s">
        <v>553</v>
      </c>
      <c r="D93" s="5" t="s">
        <v>314</v>
      </c>
      <c r="E93" s="6" t="s">
        <v>557</v>
      </c>
      <c r="F93" s="6" t="s">
        <v>558</v>
      </c>
      <c r="G93" s="7"/>
      <c r="H93" s="8"/>
      <c r="I93" s="9"/>
      <c r="J93" s="7"/>
      <c r="K93" s="9"/>
      <c r="L93" s="7"/>
      <c r="M93" s="7"/>
      <c r="N93" s="9"/>
      <c r="O93" s="7"/>
    </row>
    <row r="94" ht="26.4" spans="1:15">
      <c r="A94" s="5" t="s">
        <v>559</v>
      </c>
      <c r="B94" s="5">
        <v>9</v>
      </c>
      <c r="C94" s="6" t="s">
        <v>553</v>
      </c>
      <c r="D94" s="5" t="s">
        <v>314</v>
      </c>
      <c r="E94" s="6" t="s">
        <v>560</v>
      </c>
      <c r="F94" s="6" t="s">
        <v>561</v>
      </c>
      <c r="G94" s="7"/>
      <c r="H94" s="8"/>
      <c r="I94" s="9"/>
      <c r="J94" s="7"/>
      <c r="K94" s="9"/>
      <c r="L94" s="7"/>
      <c r="M94" s="7"/>
      <c r="N94" s="9"/>
      <c r="O94" s="7"/>
    </row>
    <row r="95" ht="26.4" spans="1:15">
      <c r="A95" s="10" t="s">
        <v>562</v>
      </c>
      <c r="B95" s="10">
        <v>9</v>
      </c>
      <c r="C95" s="11" t="s">
        <v>553</v>
      </c>
      <c r="D95" s="10" t="s">
        <v>320</v>
      </c>
      <c r="E95" s="11" t="s">
        <v>563</v>
      </c>
      <c r="F95" s="11" t="s">
        <v>564</v>
      </c>
      <c r="G95" s="7"/>
      <c r="H95" s="8"/>
      <c r="I95" s="9"/>
      <c r="J95" s="7"/>
      <c r="K95" s="9"/>
      <c r="L95" s="7"/>
      <c r="M95" s="7"/>
      <c r="N95" s="9"/>
      <c r="O95" s="7"/>
    </row>
    <row r="96" ht="26.4" spans="1:15">
      <c r="A96" s="10" t="s">
        <v>565</v>
      </c>
      <c r="B96" s="10">
        <v>9</v>
      </c>
      <c r="C96" s="11" t="s">
        <v>553</v>
      </c>
      <c r="D96" s="10" t="s">
        <v>320</v>
      </c>
      <c r="E96" s="11" t="s">
        <v>566</v>
      </c>
      <c r="F96" s="11" t="s">
        <v>567</v>
      </c>
      <c r="G96" s="7"/>
      <c r="H96" s="8"/>
      <c r="I96" s="9"/>
      <c r="J96" s="7"/>
      <c r="K96" s="9"/>
      <c r="L96" s="7"/>
      <c r="M96" s="7"/>
      <c r="N96" s="9"/>
      <c r="O96" s="7"/>
    </row>
    <row r="97" ht="26.4" spans="1:15">
      <c r="A97" s="10" t="s">
        <v>568</v>
      </c>
      <c r="B97" s="10">
        <v>9</v>
      </c>
      <c r="C97" s="11" t="s">
        <v>553</v>
      </c>
      <c r="D97" s="10" t="s">
        <v>320</v>
      </c>
      <c r="E97" s="11" t="s">
        <v>569</v>
      </c>
      <c r="F97" s="11" t="s">
        <v>58</v>
      </c>
      <c r="G97" s="7"/>
      <c r="H97" s="8"/>
      <c r="I97" s="9"/>
      <c r="J97" s="7"/>
      <c r="K97" s="9"/>
      <c r="L97" s="7"/>
      <c r="M97" s="7"/>
      <c r="N97" s="9"/>
      <c r="O97" s="7"/>
    </row>
    <row r="98" ht="26.4" spans="1:15">
      <c r="A98" s="10" t="s">
        <v>570</v>
      </c>
      <c r="B98" s="10">
        <v>9</v>
      </c>
      <c r="C98" s="11" t="s">
        <v>553</v>
      </c>
      <c r="D98" s="10" t="s">
        <v>320</v>
      </c>
      <c r="E98" s="11" t="s">
        <v>571</v>
      </c>
      <c r="F98" s="11" t="s">
        <v>572</v>
      </c>
      <c r="G98" s="7"/>
      <c r="H98" s="8"/>
      <c r="I98" s="9"/>
      <c r="J98" s="7"/>
      <c r="K98" s="9"/>
      <c r="L98" s="7"/>
      <c r="M98" s="7"/>
      <c r="N98" s="9"/>
      <c r="O98" s="7"/>
    </row>
    <row r="99" ht="26.4" spans="1:15">
      <c r="A99" s="10" t="s">
        <v>573</v>
      </c>
      <c r="B99" s="10">
        <v>9</v>
      </c>
      <c r="C99" s="11" t="s">
        <v>553</v>
      </c>
      <c r="D99" s="10" t="s">
        <v>320</v>
      </c>
      <c r="E99" s="11" t="s">
        <v>574</v>
      </c>
      <c r="F99" s="11" t="s">
        <v>58</v>
      </c>
      <c r="G99" s="7"/>
      <c r="H99" s="8"/>
      <c r="I99" s="9"/>
      <c r="J99" s="7"/>
      <c r="K99" s="9"/>
      <c r="L99" s="7"/>
      <c r="M99" s="7"/>
      <c r="N99" s="9"/>
      <c r="O99" s="7"/>
    </row>
    <row r="100" spans="1:15">
      <c r="A100" s="12" t="s">
        <v>575</v>
      </c>
    </row>
    <row r="101" ht="26.4" spans="1:15">
      <c r="A101" s="5" t="s">
        <v>576</v>
      </c>
      <c r="B101" s="5">
        <v>10</v>
      </c>
      <c r="C101" s="6" t="s">
        <v>577</v>
      </c>
      <c r="D101" s="5" t="s">
        <v>314</v>
      </c>
      <c r="E101" s="6" t="s">
        <v>578</v>
      </c>
      <c r="F101" s="6" t="s">
        <v>579</v>
      </c>
      <c r="G101" s="7"/>
      <c r="H101" s="8"/>
      <c r="I101" s="9"/>
      <c r="J101" s="7"/>
      <c r="K101" s="9"/>
      <c r="L101" s="7"/>
      <c r="M101" s="7"/>
      <c r="N101" s="9"/>
      <c r="O101" s="7"/>
    </row>
    <row r="102" ht="26.4" spans="1:15">
      <c r="A102" s="10" t="s">
        <v>580</v>
      </c>
      <c r="B102" s="10">
        <v>10</v>
      </c>
      <c r="C102" s="11" t="s">
        <v>577</v>
      </c>
      <c r="D102" s="10" t="s">
        <v>320</v>
      </c>
      <c r="E102" s="11" t="s">
        <v>581</v>
      </c>
      <c r="F102" s="11" t="s">
        <v>582</v>
      </c>
      <c r="G102" s="7"/>
      <c r="H102" s="8"/>
      <c r="I102" s="9"/>
      <c r="J102" s="7"/>
      <c r="K102" s="9"/>
      <c r="L102" s="7"/>
      <c r="M102" s="7"/>
      <c r="N102" s="9"/>
      <c r="O102" s="7"/>
    </row>
    <row r="103" ht="26.4" spans="1:15">
      <c r="A103" s="10" t="s">
        <v>583</v>
      </c>
      <c r="B103" s="10">
        <v>10</v>
      </c>
      <c r="C103" s="11" t="s">
        <v>577</v>
      </c>
      <c r="D103" s="10" t="s">
        <v>320</v>
      </c>
      <c r="E103" s="11" t="s">
        <v>584</v>
      </c>
      <c r="F103" s="11" t="s">
        <v>585</v>
      </c>
      <c r="G103" s="7"/>
      <c r="H103" s="8"/>
      <c r="I103" s="9"/>
      <c r="J103" s="7"/>
      <c r="K103" s="9"/>
      <c r="L103" s="7"/>
      <c r="M103" s="7"/>
      <c r="N103" s="9"/>
      <c r="O103" s="7"/>
    </row>
    <row r="104" spans="1:15">
      <c r="A104" s="10" t="s">
        <v>586</v>
      </c>
      <c r="B104" s="10">
        <v>10</v>
      </c>
      <c r="C104" s="11" t="s">
        <v>577</v>
      </c>
      <c r="D104" s="10" t="s">
        <v>320</v>
      </c>
      <c r="E104" s="11" t="s">
        <v>587</v>
      </c>
      <c r="F104" s="11" t="s">
        <v>588</v>
      </c>
      <c r="G104" s="7"/>
      <c r="H104" s="8"/>
      <c r="I104" s="9"/>
      <c r="J104" s="7"/>
      <c r="K104" s="9"/>
      <c r="L104" s="7"/>
      <c r="M104" s="7"/>
      <c r="N104" s="9"/>
      <c r="O104" s="7"/>
    </row>
    <row r="105" ht="26.4" spans="1:15">
      <c r="A105" s="10" t="s">
        <v>589</v>
      </c>
      <c r="B105" s="10">
        <v>10</v>
      </c>
      <c r="C105" s="11" t="s">
        <v>577</v>
      </c>
      <c r="D105" s="10" t="s">
        <v>320</v>
      </c>
      <c r="E105" s="11" t="s">
        <v>590</v>
      </c>
      <c r="F105" s="11" t="s">
        <v>58</v>
      </c>
      <c r="G105" s="7"/>
      <c r="H105" s="8"/>
      <c r="I105" s="9"/>
      <c r="J105" s="7"/>
      <c r="K105" s="9"/>
      <c r="L105" s="7"/>
      <c r="M105" s="7"/>
      <c r="N105" s="9"/>
      <c r="O105" s="7"/>
    </row>
    <row r="106" ht="26.4" spans="1:15">
      <c r="A106" s="10" t="s">
        <v>591</v>
      </c>
      <c r="B106" s="10">
        <v>10</v>
      </c>
      <c r="C106" s="11" t="s">
        <v>577</v>
      </c>
      <c r="D106" s="10" t="s">
        <v>320</v>
      </c>
      <c r="E106" s="11" t="s">
        <v>592</v>
      </c>
      <c r="F106" s="11" t="s">
        <v>593</v>
      </c>
      <c r="G106" s="7"/>
      <c r="H106" s="8"/>
      <c r="I106" s="9"/>
      <c r="J106" s="7"/>
      <c r="K106" s="9"/>
      <c r="L106" s="7"/>
      <c r="M106" s="7"/>
      <c r="N106" s="9"/>
      <c r="O106" s="7"/>
    </row>
    <row r="107" spans="1:15">
      <c r="A107" s="12" t="s">
        <v>594</v>
      </c>
    </row>
    <row r="108" spans="1:15">
      <c r="A108" s="5" t="s">
        <v>595</v>
      </c>
      <c r="B108" s="5">
        <v>11</v>
      </c>
      <c r="C108" s="6" t="s">
        <v>596</v>
      </c>
      <c r="D108" s="5" t="s">
        <v>314</v>
      </c>
      <c r="E108" s="6" t="s">
        <v>597</v>
      </c>
      <c r="F108" s="6" t="s">
        <v>598</v>
      </c>
      <c r="G108" s="7"/>
      <c r="H108" s="8"/>
      <c r="I108" s="9"/>
      <c r="J108" s="7"/>
      <c r="K108" s="9"/>
      <c r="L108" s="7"/>
      <c r="M108" s="7"/>
      <c r="N108" s="9"/>
      <c r="O108" s="7"/>
    </row>
    <row r="109" spans="1:15">
      <c r="A109" s="10" t="s">
        <v>599</v>
      </c>
      <c r="B109" s="10">
        <v>11</v>
      </c>
      <c r="C109" s="11" t="s">
        <v>596</v>
      </c>
      <c r="D109" s="10" t="s">
        <v>320</v>
      </c>
      <c r="E109" s="11" t="s">
        <v>600</v>
      </c>
      <c r="F109" s="11" t="s">
        <v>601</v>
      </c>
      <c r="G109" s="7"/>
      <c r="H109" s="8"/>
      <c r="I109" s="9"/>
      <c r="J109" s="7"/>
      <c r="K109" s="9"/>
      <c r="L109" s="7"/>
      <c r="M109" s="7"/>
      <c r="N109" s="9"/>
      <c r="O109" s="7"/>
    </row>
    <row r="110" ht="26.4" spans="1:15">
      <c r="A110" s="10" t="s">
        <v>602</v>
      </c>
      <c r="B110" s="10">
        <v>11</v>
      </c>
      <c r="C110" s="11" t="s">
        <v>596</v>
      </c>
      <c r="D110" s="10" t="s">
        <v>320</v>
      </c>
      <c r="E110" s="11" t="s">
        <v>603</v>
      </c>
      <c r="F110" s="11" t="s">
        <v>604</v>
      </c>
      <c r="G110" s="7"/>
      <c r="H110" s="8"/>
      <c r="I110" s="9"/>
      <c r="J110" s="7"/>
      <c r="K110" s="9"/>
      <c r="L110" s="7"/>
      <c r="M110" s="7"/>
      <c r="N110" s="9"/>
      <c r="O110" s="7"/>
    </row>
    <row r="111" ht="26.4" spans="1:15">
      <c r="A111" s="10" t="s">
        <v>605</v>
      </c>
      <c r="B111" s="10">
        <v>11</v>
      </c>
      <c r="C111" s="11" t="s">
        <v>596</v>
      </c>
      <c r="D111" s="10" t="s">
        <v>320</v>
      </c>
      <c r="E111" s="11" t="s">
        <v>606</v>
      </c>
      <c r="F111" s="11" t="s">
        <v>462</v>
      </c>
      <c r="G111" s="7"/>
      <c r="H111" s="8"/>
      <c r="I111" s="9"/>
      <c r="J111" s="7"/>
      <c r="K111" s="9"/>
      <c r="L111" s="7"/>
      <c r="M111" s="7"/>
      <c r="N111" s="9"/>
      <c r="O111" s="7"/>
    </row>
    <row r="112" spans="1:15">
      <c r="A112" s="12" t="s">
        <v>607</v>
      </c>
    </row>
    <row r="113" ht="26.4" spans="1:15">
      <c r="A113" s="5" t="s">
        <v>608</v>
      </c>
      <c r="B113" s="5">
        <v>12</v>
      </c>
      <c r="C113" s="6" t="s">
        <v>609</v>
      </c>
      <c r="D113" s="5" t="s">
        <v>314</v>
      </c>
      <c r="E113" s="6" t="s">
        <v>610</v>
      </c>
      <c r="F113" s="6" t="s">
        <v>611</v>
      </c>
      <c r="G113" s="7"/>
      <c r="H113" s="8"/>
      <c r="I113" s="9"/>
      <c r="J113" s="7"/>
      <c r="K113" s="9"/>
      <c r="L113" s="7"/>
      <c r="M113" s="7"/>
      <c r="N113" s="9"/>
      <c r="O113" s="7"/>
    </row>
    <row r="114" ht="26.4" spans="1:15">
      <c r="A114" s="5" t="s">
        <v>612</v>
      </c>
      <c r="B114" s="5">
        <v>12</v>
      </c>
      <c r="C114" s="6" t="s">
        <v>609</v>
      </c>
      <c r="D114" s="5" t="s">
        <v>314</v>
      </c>
      <c r="E114" s="6" t="s">
        <v>613</v>
      </c>
      <c r="F114" s="6" t="s">
        <v>614</v>
      </c>
      <c r="G114" s="7"/>
      <c r="H114" s="8"/>
      <c r="I114" s="9"/>
      <c r="J114" s="7"/>
      <c r="K114" s="9"/>
      <c r="L114" s="7"/>
      <c r="M114" s="7"/>
      <c r="N114" s="9"/>
      <c r="O114" s="7"/>
    </row>
    <row r="115" spans="1:15">
      <c r="A115" s="10" t="s">
        <v>615</v>
      </c>
      <c r="B115" s="10">
        <v>12</v>
      </c>
      <c r="C115" s="11" t="s">
        <v>609</v>
      </c>
      <c r="D115" s="10" t="s">
        <v>320</v>
      </c>
      <c r="E115" s="11" t="s">
        <v>616</v>
      </c>
      <c r="F115" s="11" t="s">
        <v>617</v>
      </c>
      <c r="G115" s="7"/>
      <c r="H115" s="8"/>
      <c r="I115" s="9"/>
      <c r="J115" s="7"/>
      <c r="K115" s="9"/>
      <c r="L115" s="7"/>
      <c r="M115" s="7"/>
      <c r="N115" s="9"/>
      <c r="O115" s="7"/>
    </row>
  </sheetData>
  <autoFilter xmlns:etc="http://www.wps.cn/officeDocument/2017/etCustomData" ref="A5:O115" etc:filterBottomFollowUsedRange="0">
    <extLst/>
  </autoFilter>
  <mergeCells count="15">
    <mergeCell ref="A1:O1"/>
    <mergeCell ref="A2:O2"/>
    <mergeCell ref="A3:O3"/>
    <mergeCell ref="A6:O6"/>
    <mergeCell ref="A16:O16"/>
    <mergeCell ref="A26:O26"/>
    <mergeCell ref="A40:O40"/>
    <mergeCell ref="A55:O55"/>
    <mergeCell ref="A60:O60"/>
    <mergeCell ref="A79:O79"/>
    <mergeCell ref="A88:O88"/>
    <mergeCell ref="A91:O91"/>
    <mergeCell ref="A100:O100"/>
    <mergeCell ref="A107:O107"/>
    <mergeCell ref="A112:O112"/>
  </mergeCells>
  <conditionalFormatting sqref="I6:I600">
    <cfRule type="expression" dxfId="4" priority="1">
      <formula>$I6="Đạt"</formula>
    </cfRule>
    <cfRule type="expression" dxfId="5" priority="2">
      <formula>$I6="Không đạt"</formula>
    </cfRule>
    <cfRule type="expression" dxfId="6" priority="3">
      <formula>$I6="Bị chặn"</formula>
    </cfRule>
  </conditionalFormatting>
  <conditionalFormatting sqref="J6:J600">
    <cfRule type="expression" dxfId="7" priority="4">
      <formula>AND(OR($I6="Không đạt",$I6="Bị chặn"),LEN(TRIM($J6))=0)</formula>
    </cfRule>
  </conditionalFormatting>
  <conditionalFormatting sqref="K6:K600">
    <cfRule type="expression" dxfId="7" priority="5">
      <formula>AND($I6="Không đạt",LEN(TRIM($K6))=0)</formula>
    </cfRule>
    <cfRule type="expression" dxfId="0" priority="6">
      <formula>$K6="Nghiêm trọng"</formula>
    </cfRule>
  </conditionalFormatting>
  <dataValidations count="4">
    <dataValidation type="date" operator="greaterThan" allowBlank="1" error="Nhập ngày dạng dd/mm/yyyy" sqref="H6:H600">
      <formula1>DATE(2020,1,1)</formula1>
    </dataValidation>
    <dataValidation type="list" allowBlank="1" error="Chọn giá trị trong danh sách" sqref="I6:I600">
      <formula1>"Đạt,Không đạt,Bị chặn,Chưa test"</formula1>
    </dataValidation>
    <dataValidation type="list" allowBlank="1" error="Chọn giá trị trong danh sách" sqref="K6:K600">
      <formula1>"Nghiêm trọng,Cao,Trung bình,Thấp"</formula1>
    </dataValidation>
    <dataValidation type="list" allowBlank="1" error="Chọn giá trị trong danh sách" sqref="N6:N600">
      <formula1>"Mới,Đang sửa,Đã sửa – chờ test lại,Test lại đạt,Không sửa"</formula1>
    </dataValidation>
  </dataValidations>
  <hyperlinks>
    <hyperlink ref="A3" r:id="rId1" display="Sales là điểm bắt đầu của mọi đơn hàng: tạo khách hàng, báo giá và đơn hàng bán (SO). Từ SO, hệ thống chuyển việc lần lượt sang Admin, Mua hàng, Kho, Kế toán. Sales không tự đặt hàng hay xuất kho, nhưng phải gửi yêu cầu và theo dõi đến khi khách trả đủ tiền.  →  Workflow từng bước (ai làm, vào menu nào, kết quả) xem ở sheet &quot;Workflow&quot;. Cột &quot;Bước&quot; dưới đây khớp số bước trong Workflow."/>
  </hyperlinks>
  <pageMargins left="0.75" right="0.75" top="1" bottom="1" header="0.5" footer="0.5"/>
  <pageSetup paperSize="1"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55"/>
  <sheetViews>
    <sheetView zoomScale="90" zoomScaleNormal="90" workbookViewId="0">
      <pane xSplit="2" ySplit="5" topLeftCell="C6" activePane="bottomRight" state="frozen"/>
      <selection/>
      <selection pane="topRight"/>
      <selection pane="bottomLeft"/>
      <selection pane="bottomRight" activeCell="A1" sqref="A1:O1"/>
    </sheetView>
  </sheetViews>
  <sheetFormatPr defaultColWidth="9" defaultRowHeight="14.4"/>
  <cols>
    <col min="1" max="1" width="10" customWidth="1"/>
    <col min="2" max="2" width="7" customWidth="1"/>
    <col min="3" max="3" width="16" customWidth="1"/>
    <col min="4" max="4" width="12" customWidth="1"/>
    <col min="5" max="5" width="46" customWidth="1"/>
    <col min="6" max="6" width="42" customWidth="1"/>
    <col min="7" max="7" width="14" customWidth="1"/>
    <col min="8" max="9" width="12" customWidth="1"/>
    <col min="10" max="10" width="46" customWidth="1"/>
    <col min="11" max="11" width="13" customWidth="1"/>
    <col min="12" max="12" width="26" customWidth="1"/>
    <col min="13" max="13" width="30" customWidth="1"/>
    <col min="14" max="14" width="16" customWidth="1"/>
    <col min="15" max="15" width="22" customWidth="1"/>
  </cols>
  <sheetData>
    <row r="1" ht="24" customHeight="1" spans="1:15">
      <c r="A1" s="1" t="s">
        <v>618</v>
      </c>
    </row>
    <row r="2" spans="1:15">
      <c r="A2" s="2" t="s">
        <v>619</v>
      </c>
    </row>
    <row r="3" ht="48" customHeight="1" spans="1:15">
      <c r="A3" s="3" t="s">
        <v>620</v>
      </c>
    </row>
    <row r="5" ht="42" customHeight="1" spans="1:15">
      <c r="A5" s="4" t="s">
        <v>27</v>
      </c>
      <c r="B5" s="4" t="s">
        <v>92</v>
      </c>
      <c r="C5" s="4" t="s">
        <v>303</v>
      </c>
      <c r="D5" s="4" t="s">
        <v>304</v>
      </c>
      <c r="E5" s="4" t="s">
        <v>29</v>
      </c>
      <c r="F5" s="4" t="s">
        <v>31</v>
      </c>
      <c r="G5" s="4" t="s">
        <v>305</v>
      </c>
      <c r="H5" s="4" t="s">
        <v>306</v>
      </c>
      <c r="I5" s="4" t="s">
        <v>14</v>
      </c>
      <c r="J5" s="4" t="s">
        <v>307</v>
      </c>
      <c r="K5" s="4" t="s">
        <v>18</v>
      </c>
      <c r="L5" s="4" t="s">
        <v>308</v>
      </c>
      <c r="M5" s="4" t="s">
        <v>309</v>
      </c>
      <c r="N5" s="4" t="s">
        <v>310</v>
      </c>
      <c r="O5" s="4" t="s">
        <v>24</v>
      </c>
    </row>
    <row r="6" spans="1:15">
      <c r="A6" s="12" t="s">
        <v>621</v>
      </c>
    </row>
    <row r="7" ht="26.4" spans="1:15">
      <c r="A7" s="5" t="s">
        <v>622</v>
      </c>
      <c r="B7" s="5">
        <v>1</v>
      </c>
      <c r="C7" s="6" t="s">
        <v>623</v>
      </c>
      <c r="D7" s="5" t="s">
        <v>314</v>
      </c>
      <c r="E7" s="6" t="s">
        <v>624</v>
      </c>
      <c r="F7" s="6" t="s">
        <v>625</v>
      </c>
      <c r="G7" s="7"/>
      <c r="H7" s="8"/>
      <c r="I7" s="9"/>
      <c r="J7" s="7"/>
      <c r="K7" s="9"/>
      <c r="L7" s="7"/>
      <c r="M7" s="7"/>
      <c r="N7" s="9"/>
      <c r="O7" s="7"/>
    </row>
    <row r="8" ht="26.4" spans="1:15">
      <c r="A8" s="5" t="s">
        <v>626</v>
      </c>
      <c r="B8" s="5">
        <v>1</v>
      </c>
      <c r="C8" s="6" t="s">
        <v>627</v>
      </c>
      <c r="D8" s="5" t="s">
        <v>314</v>
      </c>
      <c r="E8" s="6" t="s">
        <v>628</v>
      </c>
      <c r="F8" s="6" t="s">
        <v>629</v>
      </c>
      <c r="G8" s="7"/>
      <c r="H8" s="8"/>
      <c r="I8" s="9"/>
      <c r="J8" s="7"/>
      <c r="K8" s="9"/>
      <c r="L8" s="7"/>
      <c r="M8" s="7"/>
      <c r="N8" s="9"/>
      <c r="O8" s="7"/>
    </row>
    <row r="9" ht="26.4" spans="1:15">
      <c r="A9" s="5" t="s">
        <v>630</v>
      </c>
      <c r="B9" s="5">
        <v>1</v>
      </c>
      <c r="C9" s="6" t="s">
        <v>627</v>
      </c>
      <c r="D9" s="5" t="s">
        <v>314</v>
      </c>
      <c r="E9" s="6" t="s">
        <v>631</v>
      </c>
      <c r="F9" s="6" t="s">
        <v>632</v>
      </c>
      <c r="G9" s="7"/>
      <c r="H9" s="8"/>
      <c r="I9" s="9"/>
      <c r="J9" s="7"/>
      <c r="K9" s="9"/>
      <c r="L9" s="7"/>
      <c r="M9" s="7"/>
      <c r="N9" s="9"/>
      <c r="O9" s="7"/>
    </row>
    <row r="10" ht="26.4" spans="1:15">
      <c r="A10" s="10" t="s">
        <v>633</v>
      </c>
      <c r="B10" s="10">
        <v>1</v>
      </c>
      <c r="C10" s="11" t="s">
        <v>623</v>
      </c>
      <c r="D10" s="10" t="s">
        <v>320</v>
      </c>
      <c r="E10" s="11" t="s">
        <v>634</v>
      </c>
      <c r="F10" s="11" t="s">
        <v>635</v>
      </c>
      <c r="G10" s="7"/>
      <c r="H10" s="8"/>
      <c r="I10" s="9"/>
      <c r="J10" s="7"/>
      <c r="K10" s="9"/>
      <c r="L10" s="7"/>
      <c r="M10" s="7"/>
      <c r="N10" s="9"/>
      <c r="O10" s="7"/>
    </row>
    <row r="11" spans="1:15">
      <c r="A11" s="10" t="s">
        <v>636</v>
      </c>
      <c r="B11" s="10">
        <v>1</v>
      </c>
      <c r="C11" s="11" t="s">
        <v>623</v>
      </c>
      <c r="D11" s="10" t="s">
        <v>320</v>
      </c>
      <c r="E11" s="11" t="s">
        <v>637</v>
      </c>
      <c r="F11" s="11" t="s">
        <v>638</v>
      </c>
      <c r="G11" s="7"/>
      <c r="H11" s="8"/>
      <c r="I11" s="9"/>
      <c r="J11" s="7"/>
      <c r="K11" s="9"/>
      <c r="L11" s="7"/>
      <c r="M11" s="7"/>
      <c r="N11" s="9"/>
      <c r="O11" s="7"/>
    </row>
    <row r="12" ht="26.4" spans="1:15">
      <c r="A12" s="10" t="s">
        <v>639</v>
      </c>
      <c r="B12" s="10">
        <v>1</v>
      </c>
      <c r="C12" s="11" t="s">
        <v>627</v>
      </c>
      <c r="D12" s="10" t="s">
        <v>320</v>
      </c>
      <c r="E12" s="11" t="s">
        <v>640</v>
      </c>
      <c r="F12" s="11" t="s">
        <v>641</v>
      </c>
      <c r="G12" s="7"/>
      <c r="H12" s="8"/>
      <c r="I12" s="9"/>
      <c r="J12" s="7"/>
      <c r="K12" s="9"/>
      <c r="L12" s="7"/>
      <c r="M12" s="7"/>
      <c r="N12" s="9"/>
      <c r="O12" s="7"/>
    </row>
    <row r="13" spans="1:15">
      <c r="A13" s="10" t="s">
        <v>642</v>
      </c>
      <c r="B13" s="10">
        <v>1</v>
      </c>
      <c r="C13" s="11" t="s">
        <v>627</v>
      </c>
      <c r="D13" s="10" t="s">
        <v>320</v>
      </c>
      <c r="E13" s="11" t="s">
        <v>643</v>
      </c>
      <c r="F13" s="11" t="s">
        <v>58</v>
      </c>
      <c r="G13" s="7"/>
      <c r="H13" s="8"/>
      <c r="I13" s="9"/>
      <c r="J13" s="7"/>
      <c r="K13" s="9"/>
      <c r="L13" s="7"/>
      <c r="M13" s="7"/>
      <c r="N13" s="9"/>
      <c r="O13" s="7"/>
    </row>
    <row r="14" spans="1:15">
      <c r="A14" s="10" t="s">
        <v>644</v>
      </c>
      <c r="B14" s="10">
        <v>1</v>
      </c>
      <c r="C14" s="11" t="s">
        <v>627</v>
      </c>
      <c r="D14" s="10" t="s">
        <v>320</v>
      </c>
      <c r="E14" s="11" t="s">
        <v>645</v>
      </c>
      <c r="F14" s="11" t="s">
        <v>646</v>
      </c>
      <c r="G14" s="7"/>
      <c r="H14" s="8"/>
      <c r="I14" s="9"/>
      <c r="J14" s="7"/>
      <c r="K14" s="9"/>
      <c r="L14" s="7"/>
      <c r="M14" s="7"/>
      <c r="N14" s="9"/>
      <c r="O14" s="7"/>
    </row>
    <row r="15" spans="1:15">
      <c r="A15" s="12" t="s">
        <v>647</v>
      </c>
    </row>
    <row r="16" spans="1:15">
      <c r="A16" s="5" t="s">
        <v>648</v>
      </c>
      <c r="B16" s="5">
        <v>2</v>
      </c>
      <c r="C16" s="6" t="s">
        <v>649</v>
      </c>
      <c r="D16" s="5" t="s">
        <v>314</v>
      </c>
      <c r="E16" s="6" t="s">
        <v>650</v>
      </c>
      <c r="F16" s="6" t="s">
        <v>651</v>
      </c>
      <c r="G16" s="7"/>
      <c r="H16" s="8"/>
      <c r="I16" s="9"/>
      <c r="J16" s="7"/>
      <c r="K16" s="9"/>
      <c r="L16" s="7"/>
      <c r="M16" s="7"/>
      <c r="N16" s="9"/>
      <c r="O16" s="7"/>
    </row>
    <row r="17" spans="1:15">
      <c r="A17" s="10" t="s">
        <v>652</v>
      </c>
      <c r="B17" s="10">
        <v>2</v>
      </c>
      <c r="C17" s="11" t="s">
        <v>649</v>
      </c>
      <c r="D17" s="10" t="s">
        <v>320</v>
      </c>
      <c r="E17" s="11" t="s">
        <v>653</v>
      </c>
      <c r="F17" s="11" t="s">
        <v>654</v>
      </c>
      <c r="G17" s="7"/>
      <c r="H17" s="8"/>
      <c r="I17" s="9"/>
      <c r="J17" s="7"/>
      <c r="K17" s="9"/>
      <c r="L17" s="7"/>
      <c r="M17" s="7"/>
      <c r="N17" s="9"/>
      <c r="O17" s="7"/>
    </row>
    <row r="18" spans="1:15">
      <c r="A18" s="10" t="s">
        <v>655</v>
      </c>
      <c r="B18" s="10">
        <v>2</v>
      </c>
      <c r="C18" s="11" t="s">
        <v>649</v>
      </c>
      <c r="D18" s="10" t="s">
        <v>320</v>
      </c>
      <c r="E18" s="11" t="s">
        <v>656</v>
      </c>
      <c r="F18" s="11" t="s">
        <v>657</v>
      </c>
      <c r="G18" s="7"/>
      <c r="H18" s="8"/>
      <c r="I18" s="9"/>
      <c r="J18" s="7"/>
      <c r="K18" s="9"/>
      <c r="L18" s="7"/>
      <c r="M18" s="7"/>
      <c r="N18" s="9"/>
      <c r="O18" s="7"/>
    </row>
    <row r="19" spans="1:15">
      <c r="A19" s="10" t="s">
        <v>658</v>
      </c>
      <c r="B19" s="10">
        <v>2</v>
      </c>
      <c r="C19" s="11" t="s">
        <v>649</v>
      </c>
      <c r="D19" s="10" t="s">
        <v>320</v>
      </c>
      <c r="E19" s="11" t="s">
        <v>659</v>
      </c>
      <c r="F19" s="11" t="s">
        <v>660</v>
      </c>
      <c r="G19" s="7"/>
      <c r="H19" s="8"/>
      <c r="I19" s="9"/>
      <c r="J19" s="7"/>
      <c r="K19" s="9"/>
      <c r="L19" s="7"/>
      <c r="M19" s="7"/>
      <c r="N19" s="9"/>
      <c r="O19" s="7"/>
    </row>
    <row r="20" spans="1:15">
      <c r="A20" s="12" t="s">
        <v>661</v>
      </c>
    </row>
    <row r="21" ht="26.4" spans="1:15">
      <c r="A21" s="5" t="s">
        <v>662</v>
      </c>
      <c r="B21" s="5">
        <v>3</v>
      </c>
      <c r="C21" s="6" t="s">
        <v>663</v>
      </c>
      <c r="D21" s="5" t="s">
        <v>314</v>
      </c>
      <c r="E21" s="6" t="s">
        <v>664</v>
      </c>
      <c r="F21" s="6" t="s">
        <v>665</v>
      </c>
      <c r="G21" s="7"/>
      <c r="H21" s="8"/>
      <c r="I21" s="9"/>
      <c r="J21" s="7"/>
      <c r="K21" s="9"/>
      <c r="L21" s="7"/>
      <c r="M21" s="7"/>
      <c r="N21" s="9"/>
      <c r="O21" s="7"/>
    </row>
    <row r="22" spans="1:15">
      <c r="A22" s="5" t="s">
        <v>666</v>
      </c>
      <c r="B22" s="5">
        <v>3</v>
      </c>
      <c r="C22" s="6" t="s">
        <v>663</v>
      </c>
      <c r="D22" s="5" t="s">
        <v>314</v>
      </c>
      <c r="E22" s="6" t="s">
        <v>667</v>
      </c>
      <c r="F22" s="6" t="s">
        <v>668</v>
      </c>
      <c r="G22" s="7"/>
      <c r="H22" s="8"/>
      <c r="I22" s="9"/>
      <c r="J22" s="7"/>
      <c r="K22" s="9"/>
      <c r="L22" s="7"/>
      <c r="M22" s="7"/>
      <c r="N22" s="9"/>
      <c r="O22" s="7"/>
    </row>
    <row r="23" spans="1:15">
      <c r="A23" s="5" t="s">
        <v>669</v>
      </c>
      <c r="B23" s="5">
        <v>3</v>
      </c>
      <c r="C23" s="6" t="s">
        <v>663</v>
      </c>
      <c r="D23" s="5" t="s">
        <v>314</v>
      </c>
      <c r="E23" s="6" t="s">
        <v>670</v>
      </c>
      <c r="F23" s="6" t="s">
        <v>671</v>
      </c>
      <c r="G23" s="7"/>
      <c r="H23" s="8"/>
      <c r="I23" s="9"/>
      <c r="J23" s="7"/>
      <c r="K23" s="9"/>
      <c r="L23" s="7"/>
      <c r="M23" s="7"/>
      <c r="N23" s="9"/>
      <c r="O23" s="7"/>
    </row>
    <row r="24" spans="1:15">
      <c r="A24" s="10" t="s">
        <v>672</v>
      </c>
      <c r="B24" s="10">
        <v>3</v>
      </c>
      <c r="C24" s="11" t="s">
        <v>663</v>
      </c>
      <c r="D24" s="10" t="s">
        <v>320</v>
      </c>
      <c r="E24" s="11" t="s">
        <v>673</v>
      </c>
      <c r="F24" s="11" t="s">
        <v>58</v>
      </c>
      <c r="G24" s="7"/>
      <c r="H24" s="8"/>
      <c r="I24" s="9"/>
      <c r="J24" s="7"/>
      <c r="K24" s="9"/>
      <c r="L24" s="7"/>
      <c r="M24" s="7"/>
      <c r="N24" s="9"/>
      <c r="O24" s="7"/>
    </row>
    <row r="25" spans="1:15">
      <c r="A25" s="10" t="s">
        <v>674</v>
      </c>
      <c r="B25" s="10">
        <v>3</v>
      </c>
      <c r="C25" s="11" t="s">
        <v>663</v>
      </c>
      <c r="D25" s="10" t="s">
        <v>320</v>
      </c>
      <c r="E25" s="11" t="s">
        <v>675</v>
      </c>
      <c r="F25" s="11" t="s">
        <v>58</v>
      </c>
      <c r="G25" s="7"/>
      <c r="H25" s="8"/>
      <c r="I25" s="9"/>
      <c r="J25" s="7"/>
      <c r="K25" s="9"/>
      <c r="L25" s="7"/>
      <c r="M25" s="7"/>
      <c r="N25" s="9"/>
      <c r="O25" s="7"/>
    </row>
    <row r="26" ht="26.4" spans="1:15">
      <c r="A26" s="10" t="s">
        <v>676</v>
      </c>
      <c r="B26" s="10">
        <v>3</v>
      </c>
      <c r="C26" s="11" t="s">
        <v>663</v>
      </c>
      <c r="D26" s="10" t="s">
        <v>320</v>
      </c>
      <c r="E26" s="11" t="s">
        <v>677</v>
      </c>
      <c r="F26" s="11" t="s">
        <v>678</v>
      </c>
      <c r="G26" s="7"/>
      <c r="H26" s="8"/>
      <c r="I26" s="9"/>
      <c r="J26" s="7"/>
      <c r="K26" s="9"/>
      <c r="L26" s="7"/>
      <c r="M26" s="7"/>
      <c r="N26" s="9"/>
      <c r="O26" s="7"/>
    </row>
    <row r="27" ht="26.4" spans="1:15">
      <c r="A27" s="10" t="s">
        <v>679</v>
      </c>
      <c r="B27" s="10">
        <v>3</v>
      </c>
      <c r="C27" s="11" t="s">
        <v>663</v>
      </c>
      <c r="D27" s="10" t="s">
        <v>320</v>
      </c>
      <c r="E27" s="11" t="s">
        <v>680</v>
      </c>
      <c r="F27" s="11" t="s">
        <v>681</v>
      </c>
      <c r="G27" s="7"/>
      <c r="H27" s="8"/>
      <c r="I27" s="9"/>
      <c r="J27" s="7"/>
      <c r="K27" s="9"/>
      <c r="L27" s="7"/>
      <c r="M27" s="7"/>
      <c r="N27" s="9"/>
      <c r="O27" s="7"/>
    </row>
    <row r="28" spans="1:15">
      <c r="A28" s="12" t="s">
        <v>682</v>
      </c>
    </row>
    <row r="29" ht="26.4" spans="1:15">
      <c r="A29" s="5" t="s">
        <v>683</v>
      </c>
      <c r="B29" s="5">
        <v>4</v>
      </c>
      <c r="C29" s="6" t="s">
        <v>684</v>
      </c>
      <c r="D29" s="5" t="s">
        <v>314</v>
      </c>
      <c r="E29" s="6" t="s">
        <v>685</v>
      </c>
      <c r="F29" s="6" t="s">
        <v>686</v>
      </c>
      <c r="G29" s="7"/>
      <c r="H29" s="8"/>
      <c r="I29" s="9"/>
      <c r="J29" s="7"/>
      <c r="K29" s="9"/>
      <c r="L29" s="7"/>
      <c r="M29" s="7"/>
      <c r="N29" s="9"/>
      <c r="O29" s="7"/>
    </row>
    <row r="30" spans="1:15">
      <c r="A30" s="5" t="s">
        <v>687</v>
      </c>
      <c r="B30" s="5">
        <v>4</v>
      </c>
      <c r="C30" s="6" t="s">
        <v>684</v>
      </c>
      <c r="D30" s="5" t="s">
        <v>314</v>
      </c>
      <c r="E30" s="6" t="s">
        <v>688</v>
      </c>
      <c r="F30" s="6" t="s">
        <v>689</v>
      </c>
      <c r="G30" s="7"/>
      <c r="H30" s="8"/>
      <c r="I30" s="9"/>
      <c r="J30" s="7"/>
      <c r="K30" s="9"/>
      <c r="L30" s="7"/>
      <c r="M30" s="7"/>
      <c r="N30" s="9"/>
      <c r="O30" s="7"/>
    </row>
    <row r="31" ht="26.4" spans="1:15">
      <c r="A31" s="10" t="s">
        <v>690</v>
      </c>
      <c r="B31" s="10">
        <v>4</v>
      </c>
      <c r="C31" s="11" t="s">
        <v>684</v>
      </c>
      <c r="D31" s="10" t="s">
        <v>320</v>
      </c>
      <c r="E31" s="11" t="s">
        <v>691</v>
      </c>
      <c r="F31" s="11" t="s">
        <v>692</v>
      </c>
      <c r="G31" s="7"/>
      <c r="H31" s="8"/>
      <c r="I31" s="9"/>
      <c r="J31" s="7"/>
      <c r="K31" s="9"/>
      <c r="L31" s="7"/>
      <c r="M31" s="7"/>
      <c r="N31" s="9"/>
      <c r="O31" s="7"/>
    </row>
    <row r="32" ht="26.4" spans="1:15">
      <c r="A32" s="10" t="s">
        <v>693</v>
      </c>
      <c r="B32" s="10">
        <v>4</v>
      </c>
      <c r="C32" s="11" t="s">
        <v>684</v>
      </c>
      <c r="D32" s="10" t="s">
        <v>320</v>
      </c>
      <c r="E32" s="11" t="s">
        <v>694</v>
      </c>
      <c r="F32" s="11" t="s">
        <v>695</v>
      </c>
      <c r="G32" s="7"/>
      <c r="H32" s="8"/>
      <c r="I32" s="9"/>
      <c r="J32" s="7"/>
      <c r="K32" s="9"/>
      <c r="L32" s="7"/>
      <c r="M32" s="7"/>
      <c r="N32" s="9"/>
      <c r="O32" s="7"/>
    </row>
    <row r="33" ht="26.4" spans="1:15">
      <c r="A33" s="10" t="s">
        <v>696</v>
      </c>
      <c r="B33" s="10">
        <v>4</v>
      </c>
      <c r="C33" s="11" t="s">
        <v>684</v>
      </c>
      <c r="D33" s="10" t="s">
        <v>320</v>
      </c>
      <c r="E33" s="11" t="s">
        <v>697</v>
      </c>
      <c r="F33" s="11" t="s">
        <v>58</v>
      </c>
      <c r="G33" s="7"/>
      <c r="H33" s="8"/>
      <c r="I33" s="9"/>
      <c r="J33" s="7"/>
      <c r="K33" s="9"/>
      <c r="L33" s="7"/>
      <c r="M33" s="7"/>
      <c r="N33" s="9"/>
      <c r="O33" s="7"/>
    </row>
    <row r="34" spans="1:15">
      <c r="A34" s="10" t="s">
        <v>698</v>
      </c>
      <c r="B34" s="10">
        <v>4</v>
      </c>
      <c r="C34" s="11" t="s">
        <v>684</v>
      </c>
      <c r="D34" s="10" t="s">
        <v>320</v>
      </c>
      <c r="E34" s="11" t="s">
        <v>699</v>
      </c>
      <c r="F34" s="11" t="s">
        <v>700</v>
      </c>
      <c r="G34" s="7"/>
      <c r="H34" s="8"/>
      <c r="I34" s="9"/>
      <c r="J34" s="7"/>
      <c r="K34" s="9"/>
      <c r="L34" s="7"/>
      <c r="M34" s="7"/>
      <c r="N34" s="9"/>
      <c r="O34" s="7"/>
    </row>
    <row r="35" spans="1:15">
      <c r="A35" s="12" t="s">
        <v>701</v>
      </c>
    </row>
    <row r="36" ht="26.4" spans="1:15">
      <c r="A36" s="5" t="s">
        <v>702</v>
      </c>
      <c r="B36" s="5">
        <v>5</v>
      </c>
      <c r="C36" s="6" t="s">
        <v>703</v>
      </c>
      <c r="D36" s="5" t="s">
        <v>314</v>
      </c>
      <c r="E36" s="6" t="s">
        <v>704</v>
      </c>
      <c r="F36" s="6" t="s">
        <v>705</v>
      </c>
      <c r="G36" s="7"/>
      <c r="H36" s="8"/>
      <c r="I36" s="9"/>
      <c r="J36" s="7"/>
      <c r="K36" s="9"/>
      <c r="L36" s="7"/>
      <c r="M36" s="7"/>
      <c r="N36" s="9"/>
      <c r="O36" s="7"/>
    </row>
    <row r="37" ht="26.4" spans="1:15">
      <c r="A37" s="5" t="s">
        <v>706</v>
      </c>
      <c r="B37" s="5">
        <v>5</v>
      </c>
      <c r="C37" s="6" t="s">
        <v>703</v>
      </c>
      <c r="D37" s="5" t="s">
        <v>314</v>
      </c>
      <c r="E37" s="6" t="s">
        <v>707</v>
      </c>
      <c r="F37" s="6" t="s">
        <v>708</v>
      </c>
      <c r="G37" s="7"/>
      <c r="H37" s="8"/>
      <c r="I37" s="9"/>
      <c r="J37" s="7"/>
      <c r="K37" s="9"/>
      <c r="L37" s="7"/>
      <c r="M37" s="7"/>
      <c r="N37" s="9"/>
      <c r="O37" s="7"/>
    </row>
    <row r="38" ht="26.4" spans="1:15">
      <c r="A38" s="5" t="s">
        <v>709</v>
      </c>
      <c r="B38" s="5">
        <v>5</v>
      </c>
      <c r="C38" s="6" t="s">
        <v>703</v>
      </c>
      <c r="D38" s="5" t="s">
        <v>314</v>
      </c>
      <c r="E38" s="6" t="s">
        <v>710</v>
      </c>
      <c r="F38" s="6" t="s">
        <v>711</v>
      </c>
      <c r="G38" s="7"/>
      <c r="H38" s="8"/>
      <c r="I38" s="9"/>
      <c r="J38" s="7"/>
      <c r="K38" s="9"/>
      <c r="L38" s="7"/>
      <c r="M38" s="7"/>
      <c r="N38" s="9"/>
      <c r="O38" s="7"/>
    </row>
    <row r="39" ht="26.4" spans="1:15">
      <c r="A39" s="5" t="s">
        <v>712</v>
      </c>
      <c r="B39" s="5">
        <v>5</v>
      </c>
      <c r="C39" s="6" t="s">
        <v>703</v>
      </c>
      <c r="D39" s="5" t="s">
        <v>314</v>
      </c>
      <c r="E39" s="6" t="s">
        <v>713</v>
      </c>
      <c r="F39" s="6" t="s">
        <v>714</v>
      </c>
      <c r="G39" s="7"/>
      <c r="H39" s="8"/>
      <c r="I39" s="9"/>
      <c r="J39" s="7"/>
      <c r="K39" s="9"/>
      <c r="L39" s="7"/>
      <c r="M39" s="7"/>
      <c r="N39" s="9"/>
      <c r="O39" s="7"/>
    </row>
    <row r="40" ht="26.4" spans="1:15">
      <c r="A40" s="10" t="s">
        <v>715</v>
      </c>
      <c r="B40" s="10">
        <v>5</v>
      </c>
      <c r="C40" s="11" t="s">
        <v>703</v>
      </c>
      <c r="D40" s="10" t="s">
        <v>320</v>
      </c>
      <c r="E40" s="11" t="s">
        <v>716</v>
      </c>
      <c r="F40" s="11" t="s">
        <v>717</v>
      </c>
      <c r="G40" s="7"/>
      <c r="H40" s="8"/>
      <c r="I40" s="9"/>
      <c r="J40" s="7"/>
      <c r="K40" s="9"/>
      <c r="L40" s="7"/>
      <c r="M40" s="7"/>
      <c r="N40" s="9"/>
      <c r="O40" s="7"/>
    </row>
    <row r="41" ht="26.4" spans="1:15">
      <c r="A41" s="10" t="s">
        <v>718</v>
      </c>
      <c r="B41" s="10">
        <v>5</v>
      </c>
      <c r="C41" s="11" t="s">
        <v>703</v>
      </c>
      <c r="D41" s="10" t="s">
        <v>320</v>
      </c>
      <c r="E41" s="11" t="s">
        <v>719</v>
      </c>
      <c r="F41" s="11" t="s">
        <v>58</v>
      </c>
      <c r="G41" s="7"/>
      <c r="H41" s="8"/>
      <c r="I41" s="9"/>
      <c r="J41" s="7"/>
      <c r="K41" s="9"/>
      <c r="L41" s="7"/>
      <c r="M41" s="7"/>
      <c r="N41" s="9"/>
      <c r="O41" s="7"/>
    </row>
    <row r="42" ht="26.4" spans="1:15">
      <c r="A42" s="10" t="s">
        <v>720</v>
      </c>
      <c r="B42" s="10">
        <v>5</v>
      </c>
      <c r="C42" s="11" t="s">
        <v>703</v>
      </c>
      <c r="D42" s="10" t="s">
        <v>320</v>
      </c>
      <c r="E42" s="11" t="s">
        <v>721</v>
      </c>
      <c r="F42" s="11" t="s">
        <v>722</v>
      </c>
      <c r="G42" s="7"/>
      <c r="H42" s="8"/>
      <c r="I42" s="9"/>
      <c r="J42" s="7"/>
      <c r="K42" s="9"/>
      <c r="L42" s="7"/>
      <c r="M42" s="7"/>
      <c r="N42" s="9"/>
      <c r="O42" s="7"/>
    </row>
    <row r="43" ht="26.4" spans="1:15">
      <c r="A43" s="10" t="s">
        <v>723</v>
      </c>
      <c r="B43" s="10">
        <v>5</v>
      </c>
      <c r="C43" s="11" t="s">
        <v>703</v>
      </c>
      <c r="D43" s="10" t="s">
        <v>320</v>
      </c>
      <c r="E43" s="11" t="s">
        <v>724</v>
      </c>
      <c r="F43" s="11" t="s">
        <v>725</v>
      </c>
      <c r="G43" s="7"/>
      <c r="H43" s="8"/>
      <c r="I43" s="9"/>
      <c r="J43" s="7"/>
      <c r="K43" s="9"/>
      <c r="L43" s="7"/>
      <c r="M43" s="7"/>
      <c r="N43" s="9"/>
      <c r="O43" s="7"/>
    </row>
    <row r="44" ht="39.6" spans="1:15">
      <c r="A44" s="10" t="s">
        <v>726</v>
      </c>
      <c r="B44" s="10">
        <v>5</v>
      </c>
      <c r="C44" s="11" t="s">
        <v>703</v>
      </c>
      <c r="D44" s="10" t="s">
        <v>320</v>
      </c>
      <c r="E44" s="11" t="s">
        <v>727</v>
      </c>
      <c r="F44" s="11" t="s">
        <v>728</v>
      </c>
      <c r="G44" s="7"/>
      <c r="H44" s="8"/>
      <c r="I44" s="9"/>
      <c r="J44" s="7"/>
      <c r="K44" s="9"/>
      <c r="L44" s="7"/>
      <c r="M44" s="7"/>
      <c r="N44" s="9"/>
      <c r="O44" s="7"/>
    </row>
    <row r="45" spans="1:15">
      <c r="A45" s="12" t="s">
        <v>729</v>
      </c>
    </row>
    <row r="46" ht="39.6" spans="1:15">
      <c r="A46" s="5" t="s">
        <v>730</v>
      </c>
      <c r="B46" s="5">
        <v>6</v>
      </c>
      <c r="C46" s="6" t="s">
        <v>731</v>
      </c>
      <c r="D46" s="5" t="s">
        <v>314</v>
      </c>
      <c r="E46" s="6" t="s">
        <v>732</v>
      </c>
      <c r="F46" s="6" t="s">
        <v>733</v>
      </c>
      <c r="G46" s="7"/>
      <c r="H46" s="8"/>
      <c r="I46" s="9"/>
      <c r="J46" s="7"/>
      <c r="K46" s="9"/>
      <c r="L46" s="7"/>
      <c r="M46" s="7"/>
      <c r="N46" s="9"/>
      <c r="O46" s="7"/>
    </row>
    <row r="47" spans="1:15">
      <c r="A47" s="5" t="s">
        <v>734</v>
      </c>
      <c r="B47" s="5">
        <v>6</v>
      </c>
      <c r="C47" s="6" t="s">
        <v>731</v>
      </c>
      <c r="D47" s="5" t="s">
        <v>314</v>
      </c>
      <c r="E47" s="6" t="s">
        <v>735</v>
      </c>
      <c r="F47" s="6" t="s">
        <v>736</v>
      </c>
      <c r="G47" s="7"/>
      <c r="H47" s="8"/>
      <c r="I47" s="9"/>
      <c r="J47" s="7"/>
      <c r="K47" s="9"/>
      <c r="L47" s="7"/>
      <c r="M47" s="7"/>
      <c r="N47" s="9"/>
      <c r="O47" s="7"/>
    </row>
    <row r="48" spans="1:15">
      <c r="A48" s="5" t="s">
        <v>737</v>
      </c>
      <c r="B48" s="5">
        <v>6</v>
      </c>
      <c r="C48" s="6" t="s">
        <v>731</v>
      </c>
      <c r="D48" s="5" t="s">
        <v>314</v>
      </c>
      <c r="E48" s="6" t="s">
        <v>738</v>
      </c>
      <c r="F48" s="6" t="s">
        <v>739</v>
      </c>
      <c r="G48" s="7"/>
      <c r="H48" s="8"/>
      <c r="I48" s="9"/>
      <c r="J48" s="7"/>
      <c r="K48" s="9"/>
      <c r="L48" s="7"/>
      <c r="M48" s="7"/>
      <c r="N48" s="9"/>
      <c r="O48" s="7"/>
    </row>
    <row r="49" spans="1:15">
      <c r="A49" s="10" t="s">
        <v>740</v>
      </c>
      <c r="B49" s="10">
        <v>6</v>
      </c>
      <c r="C49" s="11" t="s">
        <v>731</v>
      </c>
      <c r="D49" s="10" t="s">
        <v>320</v>
      </c>
      <c r="E49" s="11" t="s">
        <v>741</v>
      </c>
      <c r="F49" s="11" t="s">
        <v>58</v>
      </c>
      <c r="G49" s="7"/>
      <c r="H49" s="8"/>
      <c r="I49" s="9"/>
      <c r="J49" s="7"/>
      <c r="K49" s="9"/>
      <c r="L49" s="7"/>
      <c r="M49" s="7"/>
      <c r="N49" s="9"/>
      <c r="O49" s="7"/>
    </row>
    <row r="50" ht="26.4" spans="1:15">
      <c r="A50" s="10" t="s">
        <v>742</v>
      </c>
      <c r="B50" s="10">
        <v>6</v>
      </c>
      <c r="C50" s="11" t="s">
        <v>731</v>
      </c>
      <c r="D50" s="10" t="s">
        <v>320</v>
      </c>
      <c r="E50" s="11" t="s">
        <v>743</v>
      </c>
      <c r="F50" s="11" t="s">
        <v>744</v>
      </c>
      <c r="G50" s="7"/>
      <c r="H50" s="8"/>
      <c r="I50" s="9"/>
      <c r="J50" s="7"/>
      <c r="K50" s="9"/>
      <c r="L50" s="7"/>
      <c r="M50" s="7"/>
      <c r="N50" s="9"/>
      <c r="O50" s="7"/>
    </row>
    <row r="51" spans="1:15">
      <c r="A51" s="10" t="s">
        <v>745</v>
      </c>
      <c r="B51" s="10">
        <v>6</v>
      </c>
      <c r="C51" s="11" t="s">
        <v>731</v>
      </c>
      <c r="D51" s="10" t="s">
        <v>320</v>
      </c>
      <c r="E51" s="11" t="s">
        <v>746</v>
      </c>
      <c r="F51" s="11" t="s">
        <v>747</v>
      </c>
      <c r="G51" s="7"/>
      <c r="H51" s="8"/>
      <c r="I51" s="9"/>
      <c r="J51" s="7"/>
      <c r="K51" s="9"/>
      <c r="L51" s="7"/>
      <c r="M51" s="7"/>
      <c r="N51" s="9"/>
      <c r="O51" s="7"/>
    </row>
    <row r="52" spans="1:15">
      <c r="A52" s="10" t="s">
        <v>748</v>
      </c>
      <c r="B52" s="10">
        <v>6</v>
      </c>
      <c r="C52" s="11" t="s">
        <v>731</v>
      </c>
      <c r="D52" s="10" t="s">
        <v>320</v>
      </c>
      <c r="E52" s="11" t="s">
        <v>749</v>
      </c>
      <c r="F52" s="11" t="s">
        <v>750</v>
      </c>
      <c r="G52" s="7"/>
      <c r="H52" s="8"/>
      <c r="I52" s="9"/>
      <c r="J52" s="7"/>
      <c r="K52" s="9"/>
      <c r="L52" s="7"/>
      <c r="M52" s="7"/>
      <c r="N52" s="9"/>
      <c r="O52" s="7"/>
    </row>
    <row r="53" spans="1:15">
      <c r="A53" s="10" t="s">
        <v>751</v>
      </c>
      <c r="B53" s="10">
        <v>6</v>
      </c>
      <c r="C53" s="11" t="s">
        <v>731</v>
      </c>
      <c r="D53" s="10" t="s">
        <v>320</v>
      </c>
      <c r="E53" s="11" t="s">
        <v>752</v>
      </c>
      <c r="F53" s="11" t="s">
        <v>753</v>
      </c>
      <c r="G53" s="7"/>
      <c r="H53" s="8"/>
      <c r="I53" s="9"/>
      <c r="J53" s="7"/>
      <c r="K53" s="9"/>
      <c r="L53" s="7"/>
      <c r="M53" s="7"/>
      <c r="N53" s="9"/>
      <c r="O53" s="7"/>
    </row>
    <row r="54" spans="1:15">
      <c r="A54" s="12" t="s">
        <v>754</v>
      </c>
    </row>
    <row r="55" ht="26.4" spans="1:15">
      <c r="A55" s="5" t="s">
        <v>755</v>
      </c>
      <c r="B55" s="5">
        <v>7</v>
      </c>
      <c r="C55" s="6" t="s">
        <v>756</v>
      </c>
      <c r="D55" s="5" t="s">
        <v>314</v>
      </c>
      <c r="E55" s="6" t="s">
        <v>757</v>
      </c>
      <c r="F55" s="6" t="s">
        <v>758</v>
      </c>
      <c r="G55" s="7"/>
      <c r="H55" s="8"/>
      <c r="I55" s="9"/>
      <c r="J55" s="7"/>
      <c r="K55" s="9"/>
      <c r="L55" s="7"/>
      <c r="M55" s="7"/>
      <c r="N55" s="9"/>
      <c r="O55" s="7"/>
    </row>
  </sheetData>
  <autoFilter xmlns:etc="http://www.wps.cn/officeDocument/2017/etCustomData" ref="A5:O55" etc:filterBottomFollowUsedRange="0">
    <extLst/>
  </autoFilter>
  <mergeCells count="10">
    <mergeCell ref="A1:O1"/>
    <mergeCell ref="A2:O2"/>
    <mergeCell ref="A3:O3"/>
    <mergeCell ref="A6:O6"/>
    <mergeCell ref="A15:O15"/>
    <mergeCell ref="A20:O20"/>
    <mergeCell ref="A28:O28"/>
    <mergeCell ref="A35:O35"/>
    <mergeCell ref="A45:O45"/>
    <mergeCell ref="A54:O54"/>
  </mergeCells>
  <conditionalFormatting sqref="I6:I600">
    <cfRule type="expression" dxfId="4" priority="1">
      <formula>$I6="Đạt"</formula>
    </cfRule>
    <cfRule type="expression" dxfId="5" priority="2">
      <formula>$I6="Không đạt"</formula>
    </cfRule>
    <cfRule type="expression" dxfId="6" priority="3">
      <formula>$I6="Bị chặn"</formula>
    </cfRule>
  </conditionalFormatting>
  <conditionalFormatting sqref="J6:J600">
    <cfRule type="expression" dxfId="7" priority="4">
      <formula>AND(OR($I6="Không đạt",$I6="Bị chặn"),LEN(TRIM($J6))=0)</formula>
    </cfRule>
  </conditionalFormatting>
  <conditionalFormatting sqref="K6:K600">
    <cfRule type="expression" dxfId="7" priority="5">
      <formula>AND($I6="Không đạt",LEN(TRIM($K6))=0)</formula>
    </cfRule>
    <cfRule type="expression" dxfId="0" priority="6">
      <formula>$K6="Nghiêm trọng"</formula>
    </cfRule>
  </conditionalFormatting>
  <dataValidations count="4">
    <dataValidation type="date" operator="greaterThan" allowBlank="1" error="Nhập ngày dạng dd/mm/yyyy" sqref="H6:H600">
      <formula1>DATE(2020,1,1)</formula1>
    </dataValidation>
    <dataValidation type="list" allowBlank="1" error="Chọn giá trị trong danh sách" sqref="I6:I600">
      <formula1>"Đạt,Không đạt,Bị chặn,Chưa test"</formula1>
    </dataValidation>
    <dataValidation type="list" allowBlank="1" error="Chọn giá trị trong danh sách" sqref="K6:K600">
      <formula1>"Nghiêm trọng,Cao,Trung bình,Thấp"</formula1>
    </dataValidation>
    <dataValidation type="list" allowBlank="1" error="Chọn giá trị trong danh sách" sqref="N6:N600">
      <formula1>"Mới,Đang sửa,Đã sửa – chờ test lại,Test lại đạt,Không sửa"</formula1>
    </dataValidation>
  </dataValidations>
  <hyperlinks>
    <hyperlink ref="A3" r:id="rId1" display="Mua hàng biến yêu cầu đặt hàng của Sales thành đơn đặt Hãng / NCC (PO), theo dõi hàng trên đường về và xác nhận hàng đã nhận. Một PO có thể gom hàng của nhiều SO cùng Hãng. Khi PO nhận hàng, hệ thống tự tạo phiếu nhập kho cho Kho.  →  Workflow từng bước (ai làm, vào menu nào, kết quả) xem ở sheet &quot;Workflow&quot;. Cột &quot;Bước&quot; dưới đây khớp số bước trong Workflow."/>
  </hyperlinks>
  <pageMargins left="0.75" right="0.75" top="1" bottom="1" header="0.5" footer="0.5"/>
  <pageSetup paperSize="1"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70"/>
  <sheetViews>
    <sheetView zoomScale="90" zoomScaleNormal="90" workbookViewId="0">
      <pane xSplit="2" ySplit="5" topLeftCell="C6" activePane="bottomRight" state="frozen"/>
      <selection/>
      <selection pane="topRight"/>
      <selection pane="bottomLeft"/>
      <selection pane="bottomRight" activeCell="A1" sqref="A1:O1"/>
    </sheetView>
  </sheetViews>
  <sheetFormatPr defaultColWidth="9" defaultRowHeight="14.4"/>
  <cols>
    <col min="1" max="1" width="10" customWidth="1"/>
    <col min="2" max="2" width="7" customWidth="1"/>
    <col min="3" max="3" width="16" customWidth="1"/>
    <col min="4" max="4" width="12" customWidth="1"/>
    <col min="5" max="5" width="46" customWidth="1"/>
    <col min="6" max="6" width="42" customWidth="1"/>
    <col min="7" max="7" width="14" customWidth="1"/>
    <col min="8" max="9" width="12" customWidth="1"/>
    <col min="10" max="10" width="46" customWidth="1"/>
    <col min="11" max="11" width="13" customWidth="1"/>
    <col min="12" max="12" width="26" customWidth="1"/>
    <col min="13" max="13" width="30" customWidth="1"/>
    <col min="14" max="14" width="16" customWidth="1"/>
    <col min="15" max="15" width="22" customWidth="1"/>
  </cols>
  <sheetData>
    <row r="1" ht="24" customHeight="1" spans="1:15">
      <c r="A1" s="1" t="s">
        <v>759</v>
      </c>
    </row>
    <row r="2" spans="1:15">
      <c r="A2" s="2" t="s">
        <v>760</v>
      </c>
    </row>
    <row r="3" ht="48" customHeight="1" spans="1:15">
      <c r="A3" s="3" t="s">
        <v>761</v>
      </c>
    </row>
    <row r="5" ht="42" customHeight="1" spans="1:15">
      <c r="A5" s="4" t="s">
        <v>27</v>
      </c>
      <c r="B5" s="4" t="s">
        <v>92</v>
      </c>
      <c r="C5" s="4" t="s">
        <v>303</v>
      </c>
      <c r="D5" s="4" t="s">
        <v>304</v>
      </c>
      <c r="E5" s="4" t="s">
        <v>29</v>
      </c>
      <c r="F5" s="4" t="s">
        <v>31</v>
      </c>
      <c r="G5" s="4" t="s">
        <v>305</v>
      </c>
      <c r="H5" s="4" t="s">
        <v>306</v>
      </c>
      <c r="I5" s="4" t="s">
        <v>14</v>
      </c>
      <c r="J5" s="4" t="s">
        <v>307</v>
      </c>
      <c r="K5" s="4" t="s">
        <v>18</v>
      </c>
      <c r="L5" s="4" t="s">
        <v>308</v>
      </c>
      <c r="M5" s="4" t="s">
        <v>309</v>
      </c>
      <c r="N5" s="4" t="s">
        <v>310</v>
      </c>
      <c r="O5" s="4" t="s">
        <v>24</v>
      </c>
    </row>
    <row r="6" spans="1:15">
      <c r="A6" s="12" t="s">
        <v>762</v>
      </c>
    </row>
    <row r="7" spans="1:15">
      <c r="A7" s="5" t="s">
        <v>763</v>
      </c>
      <c r="B7" s="5">
        <v>1</v>
      </c>
      <c r="C7" s="6" t="s">
        <v>764</v>
      </c>
      <c r="D7" s="5" t="s">
        <v>314</v>
      </c>
      <c r="E7" s="6" t="s">
        <v>765</v>
      </c>
      <c r="F7" s="6" t="s">
        <v>766</v>
      </c>
      <c r="G7" s="7"/>
      <c r="H7" s="8"/>
      <c r="I7" s="9"/>
      <c r="J7" s="7"/>
      <c r="K7" s="9"/>
      <c r="L7" s="7"/>
      <c r="M7" s="7"/>
      <c r="N7" s="9"/>
      <c r="O7" s="7"/>
    </row>
    <row r="8" spans="1:15">
      <c r="A8" s="5" t="s">
        <v>767</v>
      </c>
      <c r="B8" s="5">
        <v>1</v>
      </c>
      <c r="C8" s="6" t="s">
        <v>764</v>
      </c>
      <c r="D8" s="5" t="s">
        <v>314</v>
      </c>
      <c r="E8" s="6" t="s">
        <v>768</v>
      </c>
      <c r="F8" s="6" t="s">
        <v>769</v>
      </c>
      <c r="G8" s="7"/>
      <c r="H8" s="8"/>
      <c r="I8" s="9"/>
      <c r="J8" s="7"/>
      <c r="K8" s="9"/>
      <c r="L8" s="7"/>
      <c r="M8" s="7"/>
      <c r="N8" s="9"/>
      <c r="O8" s="7"/>
    </row>
    <row r="9" ht="26.4" spans="1:15">
      <c r="A9" s="10" t="s">
        <v>770</v>
      </c>
      <c r="B9" s="10">
        <v>1</v>
      </c>
      <c r="C9" s="11" t="s">
        <v>764</v>
      </c>
      <c r="D9" s="10" t="s">
        <v>320</v>
      </c>
      <c r="E9" s="11" t="s">
        <v>771</v>
      </c>
      <c r="F9" s="11" t="s">
        <v>772</v>
      </c>
      <c r="G9" s="7"/>
      <c r="H9" s="8"/>
      <c r="I9" s="9"/>
      <c r="J9" s="7"/>
      <c r="K9" s="9"/>
      <c r="L9" s="7"/>
      <c r="M9" s="7"/>
      <c r="N9" s="9"/>
      <c r="O9" s="7"/>
    </row>
    <row r="10" spans="1:15">
      <c r="A10" s="10" t="s">
        <v>773</v>
      </c>
      <c r="B10" s="10">
        <v>1</v>
      </c>
      <c r="C10" s="11" t="s">
        <v>764</v>
      </c>
      <c r="D10" s="10" t="s">
        <v>320</v>
      </c>
      <c r="E10" s="11" t="s">
        <v>774</v>
      </c>
      <c r="F10" s="11" t="s">
        <v>499</v>
      </c>
      <c r="G10" s="7"/>
      <c r="H10" s="8"/>
      <c r="I10" s="9"/>
      <c r="J10" s="7"/>
      <c r="K10" s="9"/>
      <c r="L10" s="7"/>
      <c r="M10" s="7"/>
      <c r="N10" s="9"/>
      <c r="O10" s="7"/>
    </row>
    <row r="11" ht="26.4" spans="1:15">
      <c r="A11" s="10" t="s">
        <v>775</v>
      </c>
      <c r="B11" s="10">
        <v>1</v>
      </c>
      <c r="C11" s="11" t="s">
        <v>764</v>
      </c>
      <c r="D11" s="10" t="s">
        <v>320</v>
      </c>
      <c r="E11" s="11" t="s">
        <v>776</v>
      </c>
      <c r="F11" s="11" t="s">
        <v>777</v>
      </c>
      <c r="G11" s="7"/>
      <c r="H11" s="8"/>
      <c r="I11" s="9"/>
      <c r="J11" s="7"/>
      <c r="K11" s="9"/>
      <c r="L11" s="7"/>
      <c r="M11" s="7"/>
      <c r="N11" s="9"/>
      <c r="O11" s="7"/>
    </row>
    <row r="12" spans="1:15">
      <c r="A12" s="12" t="s">
        <v>778</v>
      </c>
    </row>
    <row r="13" ht="26.4" spans="1:15">
      <c r="A13" s="5" t="s">
        <v>779</v>
      </c>
      <c r="B13" s="5">
        <v>2</v>
      </c>
      <c r="C13" s="6" t="s">
        <v>289</v>
      </c>
      <c r="D13" s="5" t="s">
        <v>314</v>
      </c>
      <c r="E13" s="6" t="s">
        <v>780</v>
      </c>
      <c r="F13" s="6" t="s">
        <v>781</v>
      </c>
      <c r="G13" s="7"/>
      <c r="H13" s="8"/>
      <c r="I13" s="9"/>
      <c r="J13" s="7"/>
      <c r="K13" s="9"/>
      <c r="L13" s="7"/>
      <c r="M13" s="7"/>
      <c r="N13" s="9"/>
      <c r="O13" s="7"/>
    </row>
    <row r="14" spans="1:15">
      <c r="A14" s="5" t="s">
        <v>782</v>
      </c>
      <c r="B14" s="5">
        <v>2</v>
      </c>
      <c r="C14" s="6" t="s">
        <v>289</v>
      </c>
      <c r="D14" s="5" t="s">
        <v>314</v>
      </c>
      <c r="E14" s="6" t="s">
        <v>783</v>
      </c>
      <c r="F14" s="6" t="s">
        <v>784</v>
      </c>
      <c r="G14" s="7"/>
      <c r="H14" s="8"/>
      <c r="I14" s="9"/>
      <c r="J14" s="7"/>
      <c r="K14" s="9"/>
      <c r="L14" s="7"/>
      <c r="M14" s="7"/>
      <c r="N14" s="9"/>
      <c r="O14" s="7"/>
    </row>
    <row r="15" spans="1:15">
      <c r="A15" s="5" t="s">
        <v>785</v>
      </c>
      <c r="B15" s="5">
        <v>2</v>
      </c>
      <c r="C15" s="6" t="s">
        <v>289</v>
      </c>
      <c r="D15" s="5" t="s">
        <v>314</v>
      </c>
      <c r="E15" s="6" t="s">
        <v>786</v>
      </c>
      <c r="F15" s="6" t="s">
        <v>787</v>
      </c>
      <c r="G15" s="7"/>
      <c r="H15" s="8"/>
      <c r="I15" s="9"/>
      <c r="J15" s="7"/>
      <c r="K15" s="9"/>
      <c r="L15" s="7"/>
      <c r="M15" s="7"/>
      <c r="N15" s="9"/>
      <c r="O15" s="7"/>
    </row>
    <row r="16" spans="1:15">
      <c r="A16" s="5" t="s">
        <v>788</v>
      </c>
      <c r="B16" s="5">
        <v>2</v>
      </c>
      <c r="C16" s="6" t="s">
        <v>289</v>
      </c>
      <c r="D16" s="5" t="s">
        <v>314</v>
      </c>
      <c r="E16" s="6" t="s">
        <v>789</v>
      </c>
      <c r="F16" s="6" t="s">
        <v>790</v>
      </c>
      <c r="G16" s="7"/>
      <c r="H16" s="8"/>
      <c r="I16" s="9"/>
      <c r="J16" s="7"/>
      <c r="K16" s="9"/>
      <c r="L16" s="7"/>
      <c r="M16" s="7"/>
      <c r="N16" s="9"/>
      <c r="O16" s="7"/>
    </row>
    <row r="17" spans="1:15">
      <c r="A17" s="10" t="s">
        <v>791</v>
      </c>
      <c r="B17" s="10">
        <v>2</v>
      </c>
      <c r="C17" s="11" t="s">
        <v>289</v>
      </c>
      <c r="D17" s="10" t="s">
        <v>320</v>
      </c>
      <c r="E17" s="11" t="s">
        <v>792</v>
      </c>
      <c r="F17" s="11" t="s">
        <v>793</v>
      </c>
      <c r="G17" s="7"/>
      <c r="H17" s="8"/>
      <c r="I17" s="9"/>
      <c r="J17" s="7"/>
      <c r="K17" s="9"/>
      <c r="L17" s="7"/>
      <c r="M17" s="7"/>
      <c r="N17" s="9"/>
      <c r="O17" s="7"/>
    </row>
    <row r="18" spans="1:15">
      <c r="A18" s="10" t="s">
        <v>794</v>
      </c>
      <c r="B18" s="10">
        <v>2</v>
      </c>
      <c r="C18" s="11" t="s">
        <v>289</v>
      </c>
      <c r="D18" s="10" t="s">
        <v>320</v>
      </c>
      <c r="E18" s="11" t="s">
        <v>795</v>
      </c>
      <c r="F18" s="11" t="s">
        <v>796</v>
      </c>
      <c r="G18" s="7"/>
      <c r="H18" s="8"/>
      <c r="I18" s="9"/>
      <c r="J18" s="7"/>
      <c r="K18" s="9"/>
      <c r="L18" s="7"/>
      <c r="M18" s="7"/>
      <c r="N18" s="9"/>
      <c r="O18" s="7"/>
    </row>
    <row r="19" spans="1:15">
      <c r="A19" s="10" t="s">
        <v>797</v>
      </c>
      <c r="B19" s="10">
        <v>2</v>
      </c>
      <c r="C19" s="11" t="s">
        <v>289</v>
      </c>
      <c r="D19" s="10" t="s">
        <v>320</v>
      </c>
      <c r="E19" s="11" t="s">
        <v>798</v>
      </c>
      <c r="F19" s="11" t="s">
        <v>799</v>
      </c>
      <c r="G19" s="7"/>
      <c r="H19" s="8"/>
      <c r="I19" s="9"/>
      <c r="J19" s="7"/>
      <c r="K19" s="9"/>
      <c r="L19" s="7"/>
      <c r="M19" s="7"/>
      <c r="N19" s="9"/>
      <c r="O19" s="7"/>
    </row>
    <row r="20" ht="26.4" spans="1:15">
      <c r="A20" s="10" t="s">
        <v>800</v>
      </c>
      <c r="B20" s="10">
        <v>2</v>
      </c>
      <c r="C20" s="11" t="s">
        <v>289</v>
      </c>
      <c r="D20" s="10" t="s">
        <v>320</v>
      </c>
      <c r="E20" s="11" t="s">
        <v>801</v>
      </c>
      <c r="F20" s="11" t="s">
        <v>802</v>
      </c>
      <c r="G20" s="7"/>
      <c r="H20" s="8"/>
      <c r="I20" s="9"/>
      <c r="J20" s="7"/>
      <c r="K20" s="9"/>
      <c r="L20" s="7"/>
      <c r="M20" s="7"/>
      <c r="N20" s="9"/>
      <c r="O20" s="7"/>
    </row>
    <row r="21" ht="26.4" spans="1:15">
      <c r="A21" s="10" t="s">
        <v>803</v>
      </c>
      <c r="B21" s="10">
        <v>2</v>
      </c>
      <c r="C21" s="11" t="s">
        <v>289</v>
      </c>
      <c r="D21" s="10" t="s">
        <v>320</v>
      </c>
      <c r="E21" s="11" t="s">
        <v>804</v>
      </c>
      <c r="F21" s="11" t="s">
        <v>805</v>
      </c>
      <c r="G21" s="7"/>
      <c r="H21" s="8"/>
      <c r="I21" s="9"/>
      <c r="J21" s="7"/>
      <c r="K21" s="9"/>
      <c r="L21" s="7"/>
      <c r="M21" s="7"/>
      <c r="N21" s="9"/>
      <c r="O21" s="7"/>
    </row>
    <row r="22" ht="26.4" spans="1:15">
      <c r="A22" s="10" t="s">
        <v>806</v>
      </c>
      <c r="B22" s="10">
        <v>2</v>
      </c>
      <c r="C22" s="11" t="s">
        <v>289</v>
      </c>
      <c r="D22" s="10" t="s">
        <v>320</v>
      </c>
      <c r="E22" s="11" t="s">
        <v>807</v>
      </c>
      <c r="F22" s="11" t="s">
        <v>808</v>
      </c>
      <c r="G22" s="7"/>
      <c r="H22" s="8"/>
      <c r="I22" s="9"/>
      <c r="J22" s="7"/>
      <c r="K22" s="9"/>
      <c r="L22" s="7"/>
      <c r="M22" s="7"/>
      <c r="N22" s="9"/>
      <c r="O22" s="7"/>
    </row>
    <row r="23" spans="1:15">
      <c r="A23" s="10" t="s">
        <v>809</v>
      </c>
      <c r="B23" s="10">
        <v>2</v>
      </c>
      <c r="C23" s="11" t="s">
        <v>289</v>
      </c>
      <c r="D23" s="10" t="s">
        <v>320</v>
      </c>
      <c r="E23" s="11" t="s">
        <v>810</v>
      </c>
      <c r="F23" s="11" t="s">
        <v>811</v>
      </c>
      <c r="G23" s="7"/>
      <c r="H23" s="8"/>
      <c r="I23" s="9"/>
      <c r="J23" s="7"/>
      <c r="K23" s="9"/>
      <c r="L23" s="7"/>
      <c r="M23" s="7"/>
      <c r="N23" s="9"/>
      <c r="O23" s="7"/>
    </row>
    <row r="24" spans="1:15">
      <c r="A24" s="12" t="s">
        <v>812</v>
      </c>
    </row>
    <row r="25" spans="1:15">
      <c r="A25" s="5" t="s">
        <v>813</v>
      </c>
      <c r="B25" s="5">
        <v>3</v>
      </c>
      <c r="C25" s="6" t="s">
        <v>814</v>
      </c>
      <c r="D25" s="5" t="s">
        <v>314</v>
      </c>
      <c r="E25" s="6" t="s">
        <v>815</v>
      </c>
      <c r="F25" s="6" t="s">
        <v>816</v>
      </c>
      <c r="G25" s="7"/>
      <c r="H25" s="8"/>
      <c r="I25" s="9"/>
      <c r="J25" s="7"/>
      <c r="K25" s="9"/>
      <c r="L25" s="7"/>
      <c r="M25" s="7"/>
      <c r="N25" s="9"/>
      <c r="O25" s="7"/>
    </row>
    <row r="26" ht="26.4" spans="1:15">
      <c r="A26" s="5" t="s">
        <v>817</v>
      </c>
      <c r="B26" s="5">
        <v>3</v>
      </c>
      <c r="C26" s="6" t="s">
        <v>814</v>
      </c>
      <c r="D26" s="5" t="s">
        <v>314</v>
      </c>
      <c r="E26" s="6" t="s">
        <v>818</v>
      </c>
      <c r="F26" s="6" t="s">
        <v>819</v>
      </c>
      <c r="G26" s="7"/>
      <c r="H26" s="8"/>
      <c r="I26" s="9"/>
      <c r="J26" s="7"/>
      <c r="K26" s="9"/>
      <c r="L26" s="7"/>
      <c r="M26" s="7"/>
      <c r="N26" s="9"/>
      <c r="O26" s="7"/>
    </row>
    <row r="27" spans="1:15">
      <c r="A27" s="5" t="s">
        <v>820</v>
      </c>
      <c r="B27" s="5">
        <v>3</v>
      </c>
      <c r="C27" s="6" t="s">
        <v>814</v>
      </c>
      <c r="D27" s="5" t="s">
        <v>314</v>
      </c>
      <c r="E27" s="6" t="s">
        <v>821</v>
      </c>
      <c r="F27" s="6" t="s">
        <v>822</v>
      </c>
      <c r="G27" s="7"/>
      <c r="H27" s="8"/>
      <c r="I27" s="9"/>
      <c r="J27" s="7"/>
      <c r="K27" s="9"/>
      <c r="L27" s="7"/>
      <c r="M27" s="7"/>
      <c r="N27" s="9"/>
      <c r="O27" s="7"/>
    </row>
    <row r="28" spans="1:15">
      <c r="A28" s="5" t="s">
        <v>823</v>
      </c>
      <c r="B28" s="5">
        <v>3</v>
      </c>
      <c r="C28" s="6" t="s">
        <v>814</v>
      </c>
      <c r="D28" s="5" t="s">
        <v>314</v>
      </c>
      <c r="E28" s="6" t="s">
        <v>824</v>
      </c>
      <c r="F28" s="6" t="s">
        <v>825</v>
      </c>
      <c r="G28" s="7"/>
      <c r="H28" s="8"/>
      <c r="I28" s="9"/>
      <c r="J28" s="7"/>
      <c r="K28" s="9"/>
      <c r="L28" s="7"/>
      <c r="M28" s="7"/>
      <c r="N28" s="9"/>
      <c r="O28" s="7"/>
    </row>
    <row r="29" ht="26.4" spans="1:15">
      <c r="A29" s="10" t="s">
        <v>826</v>
      </c>
      <c r="B29" s="10">
        <v>3</v>
      </c>
      <c r="C29" s="11" t="s">
        <v>814</v>
      </c>
      <c r="D29" s="10" t="s">
        <v>320</v>
      </c>
      <c r="E29" s="11" t="s">
        <v>827</v>
      </c>
      <c r="F29" s="11" t="s">
        <v>828</v>
      </c>
      <c r="G29" s="7"/>
      <c r="H29" s="8"/>
      <c r="I29" s="9"/>
      <c r="J29" s="7"/>
      <c r="K29" s="9"/>
      <c r="L29" s="7"/>
      <c r="M29" s="7"/>
      <c r="N29" s="9"/>
      <c r="O29" s="7"/>
    </row>
    <row r="30" spans="1:15">
      <c r="A30" s="10" t="s">
        <v>829</v>
      </c>
      <c r="B30" s="10">
        <v>3</v>
      </c>
      <c r="C30" s="11" t="s">
        <v>814</v>
      </c>
      <c r="D30" s="10" t="s">
        <v>320</v>
      </c>
      <c r="E30" s="11" t="s">
        <v>830</v>
      </c>
      <c r="F30" s="11" t="s">
        <v>831</v>
      </c>
      <c r="G30" s="7"/>
      <c r="H30" s="8"/>
      <c r="I30" s="9"/>
      <c r="J30" s="7"/>
      <c r="K30" s="9"/>
      <c r="L30" s="7"/>
      <c r="M30" s="7"/>
      <c r="N30" s="9"/>
      <c r="O30" s="7"/>
    </row>
    <row r="31" spans="1:15">
      <c r="A31" s="10" t="s">
        <v>832</v>
      </c>
      <c r="B31" s="10">
        <v>3</v>
      </c>
      <c r="C31" s="11" t="s">
        <v>814</v>
      </c>
      <c r="D31" s="10" t="s">
        <v>320</v>
      </c>
      <c r="E31" s="11" t="s">
        <v>833</v>
      </c>
      <c r="F31" s="11" t="s">
        <v>834</v>
      </c>
      <c r="G31" s="7"/>
      <c r="H31" s="8"/>
      <c r="I31" s="9"/>
      <c r="J31" s="7"/>
      <c r="K31" s="9"/>
      <c r="L31" s="7"/>
      <c r="M31" s="7"/>
      <c r="N31" s="9"/>
      <c r="O31" s="7"/>
    </row>
    <row r="32" ht="26.4" spans="1:15">
      <c r="A32" s="10" t="s">
        <v>835</v>
      </c>
      <c r="B32" s="10">
        <v>3</v>
      </c>
      <c r="C32" s="11" t="s">
        <v>814</v>
      </c>
      <c r="D32" s="10" t="s">
        <v>320</v>
      </c>
      <c r="E32" s="11" t="s">
        <v>836</v>
      </c>
      <c r="F32" s="11" t="s">
        <v>837</v>
      </c>
      <c r="G32" s="7"/>
      <c r="H32" s="8"/>
      <c r="I32" s="9"/>
      <c r="J32" s="7"/>
      <c r="K32" s="9"/>
      <c r="L32" s="7"/>
      <c r="M32" s="7"/>
      <c r="N32" s="9"/>
      <c r="O32" s="7"/>
    </row>
    <row r="33" spans="1:15">
      <c r="A33" s="10" t="s">
        <v>838</v>
      </c>
      <c r="B33" s="10">
        <v>3</v>
      </c>
      <c r="C33" s="11" t="s">
        <v>814</v>
      </c>
      <c r="D33" s="10" t="s">
        <v>320</v>
      </c>
      <c r="E33" s="11" t="s">
        <v>839</v>
      </c>
      <c r="F33" s="11" t="s">
        <v>840</v>
      </c>
      <c r="G33" s="7"/>
      <c r="H33" s="8"/>
      <c r="I33" s="9"/>
      <c r="J33" s="7"/>
      <c r="K33" s="9"/>
      <c r="L33" s="7"/>
      <c r="M33" s="7"/>
      <c r="N33" s="9"/>
      <c r="O33" s="7"/>
    </row>
    <row r="34" spans="1:15">
      <c r="A34" s="10" t="s">
        <v>841</v>
      </c>
      <c r="B34" s="10">
        <v>3</v>
      </c>
      <c r="C34" s="11" t="s">
        <v>814</v>
      </c>
      <c r="D34" s="10" t="s">
        <v>320</v>
      </c>
      <c r="E34" s="11" t="s">
        <v>842</v>
      </c>
      <c r="F34" s="11" t="s">
        <v>58</v>
      </c>
      <c r="G34" s="7"/>
      <c r="H34" s="8"/>
      <c r="I34" s="9"/>
      <c r="J34" s="7"/>
      <c r="K34" s="9"/>
      <c r="L34" s="7"/>
      <c r="M34" s="7"/>
      <c r="N34" s="9"/>
      <c r="O34" s="7"/>
    </row>
    <row r="35" ht="26.4" spans="1:15">
      <c r="A35" s="10" t="s">
        <v>843</v>
      </c>
      <c r="B35" s="10">
        <v>3</v>
      </c>
      <c r="C35" s="11" t="s">
        <v>814</v>
      </c>
      <c r="D35" s="10" t="s">
        <v>320</v>
      </c>
      <c r="E35" s="11" t="s">
        <v>844</v>
      </c>
      <c r="F35" s="11" t="s">
        <v>845</v>
      </c>
      <c r="G35" s="7"/>
      <c r="H35" s="8"/>
      <c r="I35" s="9"/>
      <c r="J35" s="7"/>
      <c r="K35" s="9"/>
      <c r="L35" s="7"/>
      <c r="M35" s="7"/>
      <c r="N35" s="9"/>
      <c r="O35" s="7"/>
    </row>
    <row r="36" spans="1:15">
      <c r="A36" s="12" t="s">
        <v>846</v>
      </c>
    </row>
    <row r="37" ht="26.4" spans="1:15">
      <c r="A37" s="5" t="s">
        <v>847</v>
      </c>
      <c r="B37" s="5">
        <v>4</v>
      </c>
      <c r="C37" s="6" t="s">
        <v>296</v>
      </c>
      <c r="D37" s="5" t="s">
        <v>314</v>
      </c>
      <c r="E37" s="6" t="s">
        <v>848</v>
      </c>
      <c r="F37" s="6" t="s">
        <v>558</v>
      </c>
      <c r="G37" s="7"/>
      <c r="H37" s="8"/>
      <c r="I37" s="9"/>
      <c r="J37" s="7"/>
      <c r="K37" s="9"/>
      <c r="L37" s="7"/>
      <c r="M37" s="7"/>
      <c r="N37" s="9"/>
      <c r="O37" s="7"/>
    </row>
    <row r="38" ht="26.4" spans="1:15">
      <c r="A38" s="5" t="s">
        <v>849</v>
      </c>
      <c r="B38" s="5">
        <v>4</v>
      </c>
      <c r="C38" s="6" t="s">
        <v>296</v>
      </c>
      <c r="D38" s="5" t="s">
        <v>314</v>
      </c>
      <c r="E38" s="6" t="s">
        <v>850</v>
      </c>
      <c r="F38" s="6" t="s">
        <v>851</v>
      </c>
      <c r="G38" s="7"/>
      <c r="H38" s="8"/>
      <c r="I38" s="9"/>
      <c r="J38" s="7"/>
      <c r="K38" s="9"/>
      <c r="L38" s="7"/>
      <c r="M38" s="7"/>
      <c r="N38" s="9"/>
      <c r="O38" s="7"/>
    </row>
    <row r="39" ht="26.4" spans="1:15">
      <c r="A39" s="5" t="s">
        <v>852</v>
      </c>
      <c r="B39" s="5">
        <v>4</v>
      </c>
      <c r="C39" s="6" t="s">
        <v>296</v>
      </c>
      <c r="D39" s="5" t="s">
        <v>314</v>
      </c>
      <c r="E39" s="6" t="s">
        <v>853</v>
      </c>
      <c r="F39" s="6" t="s">
        <v>854</v>
      </c>
      <c r="G39" s="7"/>
      <c r="H39" s="8"/>
      <c r="I39" s="9"/>
      <c r="J39" s="7"/>
      <c r="K39" s="9"/>
      <c r="L39" s="7"/>
      <c r="M39" s="7"/>
      <c r="N39" s="9"/>
      <c r="O39" s="7"/>
    </row>
    <row r="40" spans="1:15">
      <c r="A40" s="5" t="s">
        <v>855</v>
      </c>
      <c r="B40" s="5">
        <v>4</v>
      </c>
      <c r="C40" s="6" t="s">
        <v>296</v>
      </c>
      <c r="D40" s="5" t="s">
        <v>314</v>
      </c>
      <c r="E40" s="6" t="s">
        <v>560</v>
      </c>
      <c r="F40" s="6" t="s">
        <v>856</v>
      </c>
      <c r="G40" s="7"/>
      <c r="H40" s="8"/>
      <c r="I40" s="9"/>
      <c r="J40" s="7"/>
      <c r="K40" s="9"/>
      <c r="L40" s="7"/>
      <c r="M40" s="7"/>
      <c r="N40" s="9"/>
      <c r="O40" s="7"/>
    </row>
    <row r="41" spans="1:15">
      <c r="A41" s="5" t="s">
        <v>857</v>
      </c>
      <c r="B41" s="5">
        <v>4</v>
      </c>
      <c r="C41" s="6" t="s">
        <v>296</v>
      </c>
      <c r="D41" s="5" t="s">
        <v>314</v>
      </c>
      <c r="E41" s="6" t="s">
        <v>858</v>
      </c>
      <c r="F41" s="6" t="s">
        <v>859</v>
      </c>
      <c r="G41" s="7"/>
      <c r="H41" s="8"/>
      <c r="I41" s="9"/>
      <c r="J41" s="7"/>
      <c r="K41" s="9"/>
      <c r="L41" s="7"/>
      <c r="M41" s="7"/>
      <c r="N41" s="9"/>
      <c r="O41" s="7"/>
    </row>
    <row r="42" spans="1:15">
      <c r="A42" s="5" t="s">
        <v>860</v>
      </c>
      <c r="B42" s="5">
        <v>4</v>
      </c>
      <c r="C42" s="6" t="s">
        <v>296</v>
      </c>
      <c r="D42" s="5" t="s">
        <v>314</v>
      </c>
      <c r="E42" s="6" t="s">
        <v>861</v>
      </c>
      <c r="F42" s="6" t="s">
        <v>862</v>
      </c>
      <c r="G42" s="7"/>
      <c r="H42" s="8"/>
      <c r="I42" s="9"/>
      <c r="J42" s="7"/>
      <c r="K42" s="9"/>
      <c r="L42" s="7"/>
      <c r="M42" s="7"/>
      <c r="N42" s="9"/>
      <c r="O42" s="7"/>
    </row>
    <row r="43" ht="26.4" spans="1:15">
      <c r="A43" s="10" t="s">
        <v>863</v>
      </c>
      <c r="B43" s="10">
        <v>4</v>
      </c>
      <c r="C43" s="11" t="s">
        <v>296</v>
      </c>
      <c r="D43" s="10" t="s">
        <v>320</v>
      </c>
      <c r="E43" s="11" t="s">
        <v>864</v>
      </c>
      <c r="F43" s="11" t="s">
        <v>865</v>
      </c>
      <c r="G43" s="7"/>
      <c r="H43" s="8"/>
      <c r="I43" s="9"/>
      <c r="J43" s="7"/>
      <c r="K43" s="9"/>
      <c r="L43" s="7"/>
      <c r="M43" s="7"/>
      <c r="N43" s="9"/>
      <c r="O43" s="7"/>
    </row>
    <row r="44" spans="1:15">
      <c r="A44" s="10" t="s">
        <v>866</v>
      </c>
      <c r="B44" s="10">
        <v>4</v>
      </c>
      <c r="C44" s="11" t="s">
        <v>296</v>
      </c>
      <c r="D44" s="10" t="s">
        <v>320</v>
      </c>
      <c r="E44" s="11" t="s">
        <v>867</v>
      </c>
      <c r="F44" s="11" t="s">
        <v>692</v>
      </c>
      <c r="G44" s="7"/>
      <c r="H44" s="8"/>
      <c r="I44" s="9"/>
      <c r="J44" s="7"/>
      <c r="K44" s="9"/>
      <c r="L44" s="7"/>
      <c r="M44" s="7"/>
      <c r="N44" s="9"/>
      <c r="O44" s="7"/>
    </row>
    <row r="45" spans="1:15">
      <c r="A45" s="10" t="s">
        <v>868</v>
      </c>
      <c r="B45" s="10">
        <v>4</v>
      </c>
      <c r="C45" s="11" t="s">
        <v>296</v>
      </c>
      <c r="D45" s="10" t="s">
        <v>320</v>
      </c>
      <c r="E45" s="11" t="s">
        <v>869</v>
      </c>
      <c r="F45" s="11" t="s">
        <v>870</v>
      </c>
      <c r="G45" s="7"/>
      <c r="H45" s="8"/>
      <c r="I45" s="9"/>
      <c r="J45" s="7"/>
      <c r="K45" s="9"/>
      <c r="L45" s="7"/>
      <c r="M45" s="7"/>
      <c r="N45" s="9"/>
      <c r="O45" s="7"/>
    </row>
    <row r="46" spans="1:15">
      <c r="A46" s="10" t="s">
        <v>871</v>
      </c>
      <c r="B46" s="10">
        <v>4</v>
      </c>
      <c r="C46" s="11" t="s">
        <v>296</v>
      </c>
      <c r="D46" s="10" t="s">
        <v>320</v>
      </c>
      <c r="E46" s="11" t="s">
        <v>872</v>
      </c>
      <c r="F46" s="11" t="s">
        <v>58</v>
      </c>
      <c r="G46" s="7"/>
      <c r="H46" s="8"/>
      <c r="I46" s="9"/>
      <c r="J46" s="7"/>
      <c r="K46" s="9"/>
      <c r="L46" s="7"/>
      <c r="M46" s="7"/>
      <c r="N46" s="9"/>
      <c r="O46" s="7"/>
    </row>
    <row r="47" ht="26.4" spans="1:15">
      <c r="A47" s="10" t="s">
        <v>873</v>
      </c>
      <c r="B47" s="10">
        <v>4</v>
      </c>
      <c r="C47" s="11" t="s">
        <v>296</v>
      </c>
      <c r="D47" s="10" t="s">
        <v>320</v>
      </c>
      <c r="E47" s="11" t="s">
        <v>874</v>
      </c>
      <c r="F47" s="11" t="s">
        <v>58</v>
      </c>
      <c r="G47" s="7"/>
      <c r="H47" s="8"/>
      <c r="I47" s="9"/>
      <c r="J47" s="7"/>
      <c r="K47" s="9"/>
      <c r="L47" s="7"/>
      <c r="M47" s="7"/>
      <c r="N47" s="9"/>
      <c r="O47" s="7"/>
    </row>
    <row r="48" spans="1:15">
      <c r="A48" s="10" t="s">
        <v>875</v>
      </c>
      <c r="B48" s="10">
        <v>4</v>
      </c>
      <c r="C48" s="11" t="s">
        <v>296</v>
      </c>
      <c r="D48" s="10" t="s">
        <v>320</v>
      </c>
      <c r="E48" s="11" t="s">
        <v>876</v>
      </c>
      <c r="F48" s="11" t="s">
        <v>877</v>
      </c>
      <c r="G48" s="7"/>
      <c r="H48" s="8"/>
      <c r="I48" s="9"/>
      <c r="J48" s="7"/>
      <c r="K48" s="9"/>
      <c r="L48" s="7"/>
      <c r="M48" s="7"/>
      <c r="N48" s="9"/>
      <c r="O48" s="7"/>
    </row>
    <row r="49" spans="1:15">
      <c r="A49" s="10" t="s">
        <v>878</v>
      </c>
      <c r="B49" s="10">
        <v>4</v>
      </c>
      <c r="C49" s="11" t="s">
        <v>296</v>
      </c>
      <c r="D49" s="10" t="s">
        <v>320</v>
      </c>
      <c r="E49" s="11" t="s">
        <v>879</v>
      </c>
      <c r="F49" s="11" t="s">
        <v>58</v>
      </c>
      <c r="G49" s="7"/>
      <c r="H49" s="8"/>
      <c r="I49" s="9"/>
      <c r="J49" s="7"/>
      <c r="K49" s="9"/>
      <c r="L49" s="7"/>
      <c r="M49" s="7"/>
      <c r="N49" s="9"/>
      <c r="O49" s="7"/>
    </row>
    <row r="50" ht="26.4" spans="1:15">
      <c r="A50" s="10" t="s">
        <v>880</v>
      </c>
      <c r="B50" s="10">
        <v>4</v>
      </c>
      <c r="C50" s="11" t="s">
        <v>296</v>
      </c>
      <c r="D50" s="10" t="s">
        <v>320</v>
      </c>
      <c r="E50" s="11" t="s">
        <v>881</v>
      </c>
      <c r="F50" s="11" t="s">
        <v>882</v>
      </c>
      <c r="G50" s="7"/>
      <c r="H50" s="8"/>
      <c r="I50" s="9"/>
      <c r="J50" s="7"/>
      <c r="K50" s="9"/>
      <c r="L50" s="7"/>
      <c r="M50" s="7"/>
      <c r="N50" s="9"/>
      <c r="O50" s="7"/>
    </row>
    <row r="51" ht="26.4" spans="1:15">
      <c r="A51" s="10" t="s">
        <v>883</v>
      </c>
      <c r="B51" s="10">
        <v>4</v>
      </c>
      <c r="C51" s="11" t="s">
        <v>296</v>
      </c>
      <c r="D51" s="10" t="s">
        <v>320</v>
      </c>
      <c r="E51" s="11" t="s">
        <v>884</v>
      </c>
      <c r="F51" s="11" t="s">
        <v>58</v>
      </c>
      <c r="G51" s="7"/>
      <c r="H51" s="8"/>
      <c r="I51" s="9"/>
      <c r="J51" s="7"/>
      <c r="K51" s="9"/>
      <c r="L51" s="7"/>
      <c r="M51" s="7"/>
      <c r="N51" s="9"/>
      <c r="O51" s="7"/>
    </row>
    <row r="52" spans="1:15">
      <c r="A52" s="10" t="s">
        <v>885</v>
      </c>
      <c r="B52" s="10">
        <v>4</v>
      </c>
      <c r="C52" s="11" t="s">
        <v>296</v>
      </c>
      <c r="D52" s="10" t="s">
        <v>320</v>
      </c>
      <c r="E52" s="11" t="s">
        <v>886</v>
      </c>
      <c r="F52" s="11" t="s">
        <v>887</v>
      </c>
      <c r="G52" s="7"/>
      <c r="H52" s="8"/>
      <c r="I52" s="9"/>
      <c r="J52" s="7"/>
      <c r="K52" s="9"/>
      <c r="L52" s="7"/>
      <c r="M52" s="7"/>
      <c r="N52" s="9"/>
      <c r="O52" s="7"/>
    </row>
    <row r="53" spans="1:15">
      <c r="A53" s="12" t="s">
        <v>888</v>
      </c>
    </row>
    <row r="54" ht="26.4" spans="1:15">
      <c r="A54" s="5" t="s">
        <v>889</v>
      </c>
      <c r="B54" s="5">
        <v>5</v>
      </c>
      <c r="C54" s="6" t="s">
        <v>890</v>
      </c>
      <c r="D54" s="5" t="s">
        <v>314</v>
      </c>
      <c r="E54" s="6" t="s">
        <v>891</v>
      </c>
      <c r="F54" s="6" t="s">
        <v>892</v>
      </c>
      <c r="G54" s="7"/>
      <c r="H54" s="8"/>
      <c r="I54" s="9"/>
      <c r="J54" s="7"/>
      <c r="K54" s="9"/>
      <c r="L54" s="7"/>
      <c r="M54" s="7"/>
      <c r="N54" s="9"/>
      <c r="O54" s="7"/>
    </row>
    <row r="55" ht="26.4" spans="1:15">
      <c r="A55" s="10" t="s">
        <v>893</v>
      </c>
      <c r="B55" s="10">
        <v>5</v>
      </c>
      <c r="C55" s="11" t="s">
        <v>890</v>
      </c>
      <c r="D55" s="10" t="s">
        <v>320</v>
      </c>
      <c r="E55" s="11" t="s">
        <v>894</v>
      </c>
      <c r="F55" s="11" t="s">
        <v>58</v>
      </c>
      <c r="G55" s="7"/>
      <c r="H55" s="8"/>
      <c r="I55" s="9"/>
      <c r="J55" s="7"/>
      <c r="K55" s="9"/>
      <c r="L55" s="7"/>
      <c r="M55" s="7"/>
      <c r="N55" s="9"/>
      <c r="O55" s="7"/>
    </row>
    <row r="56" spans="1:15">
      <c r="A56" s="10" t="s">
        <v>895</v>
      </c>
      <c r="B56" s="10">
        <v>5</v>
      </c>
      <c r="C56" s="11" t="s">
        <v>890</v>
      </c>
      <c r="D56" s="10" t="s">
        <v>320</v>
      </c>
      <c r="E56" s="11" t="s">
        <v>896</v>
      </c>
      <c r="F56" s="11" t="s">
        <v>897</v>
      </c>
      <c r="G56" s="7"/>
      <c r="H56" s="8"/>
      <c r="I56" s="9"/>
      <c r="J56" s="7"/>
      <c r="K56" s="9"/>
      <c r="L56" s="7"/>
      <c r="M56" s="7"/>
      <c r="N56" s="9"/>
      <c r="O56" s="7"/>
    </row>
    <row r="57" spans="1:15">
      <c r="A57" s="10" t="s">
        <v>898</v>
      </c>
      <c r="B57" s="10">
        <v>5</v>
      </c>
      <c r="C57" s="11" t="s">
        <v>890</v>
      </c>
      <c r="D57" s="10" t="s">
        <v>320</v>
      </c>
      <c r="E57" s="11" t="s">
        <v>899</v>
      </c>
      <c r="F57" s="11" t="s">
        <v>900</v>
      </c>
      <c r="G57" s="7"/>
      <c r="H57" s="8"/>
      <c r="I57" s="9"/>
      <c r="J57" s="7"/>
      <c r="K57" s="9"/>
      <c r="L57" s="7"/>
      <c r="M57" s="7"/>
      <c r="N57" s="9"/>
      <c r="O57" s="7"/>
    </row>
    <row r="58" spans="1:15">
      <c r="A58" s="12" t="s">
        <v>901</v>
      </c>
    </row>
    <row r="59" spans="1:15">
      <c r="A59" s="5" t="s">
        <v>902</v>
      </c>
      <c r="B59" s="5">
        <v>6</v>
      </c>
      <c r="C59" s="6" t="s">
        <v>903</v>
      </c>
      <c r="D59" s="5" t="s">
        <v>314</v>
      </c>
      <c r="E59" s="6" t="s">
        <v>904</v>
      </c>
      <c r="F59" s="6" t="s">
        <v>905</v>
      </c>
      <c r="G59" s="7"/>
      <c r="H59" s="8"/>
      <c r="I59" s="9"/>
      <c r="J59" s="7"/>
      <c r="K59" s="9"/>
      <c r="L59" s="7"/>
      <c r="M59" s="7"/>
      <c r="N59" s="9"/>
      <c r="O59" s="7"/>
    </row>
    <row r="60" ht="26.4" spans="1:15">
      <c r="A60" s="10" t="s">
        <v>906</v>
      </c>
      <c r="B60" s="10">
        <v>6</v>
      </c>
      <c r="C60" s="11" t="s">
        <v>903</v>
      </c>
      <c r="D60" s="10" t="s">
        <v>320</v>
      </c>
      <c r="E60" s="11" t="s">
        <v>907</v>
      </c>
      <c r="F60" s="11" t="s">
        <v>908</v>
      </c>
      <c r="G60" s="7"/>
      <c r="H60" s="8"/>
      <c r="I60" s="9"/>
      <c r="J60" s="7"/>
      <c r="K60" s="9"/>
      <c r="L60" s="7"/>
      <c r="M60" s="7"/>
      <c r="N60" s="9"/>
      <c r="O60" s="7"/>
    </row>
    <row r="61" spans="1:15">
      <c r="A61" s="10" t="s">
        <v>909</v>
      </c>
      <c r="B61" s="10">
        <v>6</v>
      </c>
      <c r="C61" s="11" t="s">
        <v>903</v>
      </c>
      <c r="D61" s="10" t="s">
        <v>320</v>
      </c>
      <c r="E61" s="11" t="s">
        <v>910</v>
      </c>
      <c r="F61" s="11" t="s">
        <v>58</v>
      </c>
      <c r="G61" s="7"/>
      <c r="H61" s="8"/>
      <c r="I61" s="9"/>
      <c r="J61" s="7"/>
      <c r="K61" s="9"/>
      <c r="L61" s="7"/>
      <c r="M61" s="7"/>
      <c r="N61" s="9"/>
      <c r="O61" s="7"/>
    </row>
    <row r="62" spans="1:15">
      <c r="A62" s="12" t="s">
        <v>911</v>
      </c>
    </row>
    <row r="63" ht="26.4" spans="1:15">
      <c r="A63" s="5" t="s">
        <v>912</v>
      </c>
      <c r="B63" s="5">
        <v>7</v>
      </c>
      <c r="C63" s="6" t="s">
        <v>913</v>
      </c>
      <c r="D63" s="5" t="s">
        <v>314</v>
      </c>
      <c r="E63" s="6" t="s">
        <v>914</v>
      </c>
      <c r="F63" s="6" t="s">
        <v>825</v>
      </c>
      <c r="G63" s="7"/>
      <c r="H63" s="8"/>
      <c r="I63" s="9"/>
      <c r="J63" s="7"/>
      <c r="K63" s="9"/>
      <c r="L63" s="7"/>
      <c r="M63" s="7"/>
      <c r="N63" s="9"/>
      <c r="O63" s="7"/>
    </row>
    <row r="64" ht="26.4" spans="1:15">
      <c r="A64" s="5" t="s">
        <v>915</v>
      </c>
      <c r="B64" s="5">
        <v>7</v>
      </c>
      <c r="C64" s="6" t="s">
        <v>913</v>
      </c>
      <c r="D64" s="5" t="s">
        <v>314</v>
      </c>
      <c r="E64" s="6" t="s">
        <v>916</v>
      </c>
      <c r="F64" s="6" t="s">
        <v>917</v>
      </c>
      <c r="G64" s="7"/>
      <c r="H64" s="8"/>
      <c r="I64" s="9"/>
      <c r="J64" s="7"/>
      <c r="K64" s="9"/>
      <c r="L64" s="7"/>
      <c r="M64" s="7"/>
      <c r="N64" s="9"/>
      <c r="O64" s="7"/>
    </row>
    <row r="65" ht="26.4" spans="1:15">
      <c r="A65" s="5" t="s">
        <v>918</v>
      </c>
      <c r="B65" s="5">
        <v>7</v>
      </c>
      <c r="C65" s="6" t="s">
        <v>913</v>
      </c>
      <c r="D65" s="5" t="s">
        <v>314</v>
      </c>
      <c r="E65" s="6" t="s">
        <v>919</v>
      </c>
      <c r="F65" s="6" t="s">
        <v>920</v>
      </c>
      <c r="G65" s="7"/>
      <c r="H65" s="8"/>
      <c r="I65" s="9"/>
      <c r="J65" s="7"/>
      <c r="K65" s="9"/>
      <c r="L65" s="7"/>
      <c r="M65" s="7"/>
      <c r="N65" s="9"/>
      <c r="O65" s="7"/>
    </row>
    <row r="66" ht="26.4" spans="1:15">
      <c r="A66" s="10" t="s">
        <v>921</v>
      </c>
      <c r="B66" s="10">
        <v>7</v>
      </c>
      <c r="C66" s="11" t="s">
        <v>913</v>
      </c>
      <c r="D66" s="10" t="s">
        <v>320</v>
      </c>
      <c r="E66" s="11" t="s">
        <v>922</v>
      </c>
      <c r="F66" s="11" t="s">
        <v>58</v>
      </c>
      <c r="G66" s="7"/>
      <c r="H66" s="8"/>
      <c r="I66" s="9"/>
      <c r="J66" s="7"/>
      <c r="K66" s="9"/>
      <c r="L66" s="7"/>
      <c r="M66" s="7"/>
      <c r="N66" s="9"/>
      <c r="O66" s="7"/>
    </row>
    <row r="67" ht="26.4" spans="1:15">
      <c r="A67" s="5" t="s">
        <v>923</v>
      </c>
      <c r="B67" s="5">
        <v>7</v>
      </c>
      <c r="C67" s="6" t="s">
        <v>913</v>
      </c>
      <c r="D67" s="5" t="s">
        <v>314</v>
      </c>
      <c r="E67" s="6" t="s">
        <v>924</v>
      </c>
      <c r="F67" s="6" t="s">
        <v>925</v>
      </c>
      <c r="G67" s="7"/>
      <c r="H67" s="8"/>
      <c r="I67" s="9"/>
      <c r="J67" s="7"/>
      <c r="K67" s="9"/>
      <c r="L67" s="7"/>
      <c r="M67" s="7"/>
      <c r="N67" s="9"/>
      <c r="O67" s="7"/>
    </row>
    <row r="68" ht="26.4" spans="1:15">
      <c r="A68" s="10" t="s">
        <v>926</v>
      </c>
      <c r="B68" s="10">
        <v>7</v>
      </c>
      <c r="C68" s="11" t="s">
        <v>913</v>
      </c>
      <c r="D68" s="10" t="s">
        <v>320</v>
      </c>
      <c r="E68" s="11" t="s">
        <v>927</v>
      </c>
      <c r="F68" s="11" t="s">
        <v>58</v>
      </c>
      <c r="G68" s="7"/>
      <c r="H68" s="8"/>
      <c r="I68" s="9"/>
      <c r="J68" s="7"/>
      <c r="K68" s="9"/>
      <c r="L68" s="7"/>
      <c r="M68" s="7"/>
      <c r="N68" s="9"/>
      <c r="O68" s="7"/>
    </row>
    <row r="69" ht="26.4" spans="1:15">
      <c r="A69" s="5" t="s">
        <v>928</v>
      </c>
      <c r="B69" s="5">
        <v>7</v>
      </c>
      <c r="C69" s="6" t="s">
        <v>913</v>
      </c>
      <c r="D69" s="5" t="s">
        <v>314</v>
      </c>
      <c r="E69" s="6" t="s">
        <v>929</v>
      </c>
      <c r="F69" s="6" t="s">
        <v>930</v>
      </c>
      <c r="G69" s="7"/>
      <c r="H69" s="8"/>
      <c r="I69" s="9"/>
      <c r="J69" s="7"/>
      <c r="K69" s="9"/>
      <c r="L69" s="7"/>
      <c r="M69" s="7"/>
      <c r="N69" s="9"/>
      <c r="O69" s="7"/>
    </row>
    <row r="70" ht="26.4" spans="1:15">
      <c r="A70" s="5" t="s">
        <v>931</v>
      </c>
      <c r="B70" s="5">
        <v>7</v>
      </c>
      <c r="C70" s="6" t="s">
        <v>913</v>
      </c>
      <c r="D70" s="5" t="s">
        <v>314</v>
      </c>
      <c r="E70" s="6" t="s">
        <v>932</v>
      </c>
      <c r="F70" s="6" t="s">
        <v>933</v>
      </c>
      <c r="G70" s="7"/>
      <c r="H70" s="8"/>
      <c r="I70" s="9"/>
      <c r="J70" s="7"/>
      <c r="K70" s="9"/>
      <c r="L70" s="7"/>
      <c r="M70" s="7"/>
      <c r="N70" s="9"/>
      <c r="O70" s="7"/>
    </row>
  </sheetData>
  <autoFilter xmlns:etc="http://www.wps.cn/officeDocument/2017/etCustomData" ref="A5:O70" etc:filterBottomFollowUsedRange="0">
    <extLst/>
  </autoFilter>
  <mergeCells count="10">
    <mergeCell ref="A1:O1"/>
    <mergeCell ref="A2:O2"/>
    <mergeCell ref="A3:O3"/>
    <mergeCell ref="A6:O6"/>
    <mergeCell ref="A12:O12"/>
    <mergeCell ref="A24:O24"/>
    <mergeCell ref="A36:O36"/>
    <mergeCell ref="A53:O53"/>
    <mergeCell ref="A58:O58"/>
    <mergeCell ref="A62:O62"/>
  </mergeCells>
  <conditionalFormatting sqref="I6:I600">
    <cfRule type="expression" dxfId="4" priority="1">
      <formula>$I6="Đạt"</formula>
    </cfRule>
    <cfRule type="expression" dxfId="5" priority="2">
      <formula>$I6="Không đạt"</formula>
    </cfRule>
    <cfRule type="expression" dxfId="6" priority="3">
      <formula>$I6="Bị chặn"</formula>
    </cfRule>
  </conditionalFormatting>
  <conditionalFormatting sqref="J6:J600">
    <cfRule type="expression" dxfId="7" priority="4">
      <formula>AND(OR($I6="Không đạt",$I6="Bị chặn"),LEN(TRIM($J6))=0)</formula>
    </cfRule>
  </conditionalFormatting>
  <conditionalFormatting sqref="K6:K600">
    <cfRule type="expression" dxfId="7" priority="5">
      <formula>AND($I6="Không đạt",LEN(TRIM($K6))=0)</formula>
    </cfRule>
    <cfRule type="expression" dxfId="0" priority="6">
      <formula>$K6="Nghiêm trọng"</formula>
    </cfRule>
  </conditionalFormatting>
  <dataValidations count="4">
    <dataValidation type="date" operator="greaterThan" allowBlank="1" error="Nhập ngày dạng dd/mm/yyyy" sqref="H6:H600">
      <formula1>DATE(2020,1,1)</formula1>
    </dataValidation>
    <dataValidation type="list" allowBlank="1" error="Chọn giá trị trong danh sách" sqref="I6:I600">
      <formula1>"Đạt,Không đạt,Bị chặn,Chưa test"</formula1>
    </dataValidation>
    <dataValidation type="list" allowBlank="1" error="Chọn giá trị trong danh sách" sqref="K6:K600">
      <formula1>"Nghiêm trọng,Cao,Trung bình,Thấp"</formula1>
    </dataValidation>
    <dataValidation type="list" allowBlank="1" error="Chọn giá trị trong danh sách" sqref="N6:N600">
      <formula1>"Mới,Đang sửa,Đã sửa – chờ test lại,Test lại đạt,Không sửa"</formula1>
    </dataValidation>
  </dataValidations>
  <hyperlinks>
    <hyperlink ref="A3" r:id="rId1" display="Kho giữ số liệu tồn thật: mọi thiết bị theo dõi theo kho, Số PO và S/N. Phiếu nhập sinh từ PO của Mua hàng, phiếu xuất sinh từ đề xuất của Sales. Việc của Kho là kiểm hàng, ghi đúng S/N và bấm duyệt — chỉ khi Kho duyệt thì tồn mới tăng / giảm. Kho runrate là kho hàng có sẵn, Sales được xin giữ trước.  →  Workflow từng bước (ai làm, vào menu nào, kết quả) xem ở sheet &quot;Workflow&quot;. Cột &quot;Bước&quot; dưới đây khớp số bước trong Workflow."/>
  </hyperlinks>
  <pageMargins left="0.75" right="0.75" top="1" bottom="1" header="0.5" footer="0.5"/>
  <pageSetup paperSize="1"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38"/>
  <sheetViews>
    <sheetView zoomScale="90" zoomScaleNormal="90" workbookViewId="0">
      <pane xSplit="2" ySplit="5" topLeftCell="C6" activePane="bottomRight" state="frozen"/>
      <selection/>
      <selection pane="topRight"/>
      <selection pane="bottomLeft"/>
      <selection pane="bottomRight" activeCell="A1" sqref="A1:O1"/>
    </sheetView>
  </sheetViews>
  <sheetFormatPr defaultColWidth="9" defaultRowHeight="14.4"/>
  <cols>
    <col min="1" max="1" width="10" customWidth="1"/>
    <col min="2" max="2" width="7" customWidth="1"/>
    <col min="3" max="3" width="16" customWidth="1"/>
    <col min="4" max="4" width="12" customWidth="1"/>
    <col min="5" max="5" width="46" customWidth="1"/>
    <col min="6" max="6" width="42" customWidth="1"/>
    <col min="7" max="7" width="14" customWidth="1"/>
    <col min="8" max="9" width="12" customWidth="1"/>
    <col min="10" max="10" width="46" customWidth="1"/>
    <col min="11" max="11" width="13" customWidth="1"/>
    <col min="12" max="12" width="26" customWidth="1"/>
    <col min="13" max="13" width="30" customWidth="1"/>
    <col min="14" max="14" width="16" customWidth="1"/>
    <col min="15" max="15" width="22" customWidth="1"/>
  </cols>
  <sheetData>
    <row r="1" ht="24" customHeight="1" spans="1:15">
      <c r="A1" s="1" t="s">
        <v>934</v>
      </c>
    </row>
    <row r="2" spans="1:15">
      <c r="A2" s="2" t="s">
        <v>935</v>
      </c>
    </row>
    <row r="3" ht="48" customHeight="1" spans="1:15">
      <c r="A3" s="3" t="s">
        <v>936</v>
      </c>
    </row>
    <row r="5" ht="42" customHeight="1" spans="1:15">
      <c r="A5" s="4" t="s">
        <v>27</v>
      </c>
      <c r="B5" s="4" t="s">
        <v>92</v>
      </c>
      <c r="C5" s="4" t="s">
        <v>303</v>
      </c>
      <c r="D5" s="4" t="s">
        <v>304</v>
      </c>
      <c r="E5" s="4" t="s">
        <v>29</v>
      </c>
      <c r="F5" s="4" t="s">
        <v>31</v>
      </c>
      <c r="G5" s="4" t="s">
        <v>305</v>
      </c>
      <c r="H5" s="4" t="s">
        <v>306</v>
      </c>
      <c r="I5" s="4" t="s">
        <v>14</v>
      </c>
      <c r="J5" s="4" t="s">
        <v>307</v>
      </c>
      <c r="K5" s="4" t="s">
        <v>18</v>
      </c>
      <c r="L5" s="4" t="s">
        <v>308</v>
      </c>
      <c r="M5" s="4" t="s">
        <v>309</v>
      </c>
      <c r="N5" s="4" t="s">
        <v>310</v>
      </c>
      <c r="O5" s="4" t="s">
        <v>24</v>
      </c>
    </row>
    <row r="6" spans="1:15">
      <c r="A6" s="12" t="s">
        <v>937</v>
      </c>
    </row>
    <row r="7" ht="26.4" spans="1:15">
      <c r="A7" s="5" t="s">
        <v>938</v>
      </c>
      <c r="B7" s="5">
        <v>1</v>
      </c>
      <c r="C7" s="6" t="s">
        <v>939</v>
      </c>
      <c r="D7" s="5" t="s">
        <v>314</v>
      </c>
      <c r="E7" s="6" t="s">
        <v>940</v>
      </c>
      <c r="F7" s="6" t="s">
        <v>941</v>
      </c>
      <c r="G7" s="7"/>
      <c r="H7" s="8"/>
      <c r="I7" s="9"/>
      <c r="J7" s="7"/>
      <c r="K7" s="9"/>
      <c r="L7" s="7"/>
      <c r="M7" s="7"/>
      <c r="N7" s="9"/>
      <c r="O7" s="7"/>
    </row>
    <row r="8" spans="1:15">
      <c r="A8" s="5" t="s">
        <v>942</v>
      </c>
      <c r="B8" s="5">
        <v>1</v>
      </c>
      <c r="C8" s="6" t="s">
        <v>939</v>
      </c>
      <c r="D8" s="5" t="s">
        <v>314</v>
      </c>
      <c r="E8" s="6" t="s">
        <v>943</v>
      </c>
      <c r="F8" s="6" t="s">
        <v>944</v>
      </c>
      <c r="G8" s="7"/>
      <c r="H8" s="8"/>
      <c r="I8" s="9"/>
      <c r="J8" s="7"/>
      <c r="K8" s="9"/>
      <c r="L8" s="7"/>
      <c r="M8" s="7"/>
      <c r="N8" s="9"/>
      <c r="O8" s="7"/>
    </row>
    <row r="9" spans="1:15">
      <c r="A9" s="5" t="s">
        <v>945</v>
      </c>
      <c r="B9" s="5">
        <v>1</v>
      </c>
      <c r="C9" s="6" t="s">
        <v>939</v>
      </c>
      <c r="D9" s="5" t="s">
        <v>314</v>
      </c>
      <c r="E9" s="6" t="s">
        <v>946</v>
      </c>
      <c r="F9" s="6" t="s">
        <v>947</v>
      </c>
      <c r="G9" s="7"/>
      <c r="H9" s="8"/>
      <c r="I9" s="9"/>
      <c r="J9" s="7"/>
      <c r="K9" s="9"/>
      <c r="L9" s="7"/>
      <c r="M9" s="7"/>
      <c r="N9" s="9"/>
      <c r="O9" s="7"/>
    </row>
    <row r="10" spans="1:15">
      <c r="A10" s="12" t="s">
        <v>948</v>
      </c>
    </row>
    <row r="11" ht="26.4" spans="1:15">
      <c r="A11" s="5" t="s">
        <v>949</v>
      </c>
      <c r="B11" s="5">
        <v>2</v>
      </c>
      <c r="C11" s="6" t="s">
        <v>950</v>
      </c>
      <c r="D11" s="5" t="s">
        <v>314</v>
      </c>
      <c r="E11" s="6" t="s">
        <v>951</v>
      </c>
      <c r="F11" s="6" t="s">
        <v>952</v>
      </c>
      <c r="G11" s="7"/>
      <c r="H11" s="8"/>
      <c r="I11" s="9"/>
      <c r="J11" s="7"/>
      <c r="K11" s="9"/>
      <c r="L11" s="7"/>
      <c r="M11" s="7"/>
      <c r="N11" s="9"/>
      <c r="O11" s="7"/>
    </row>
    <row r="12" ht="26.4" spans="1:15">
      <c r="A12" s="5" t="s">
        <v>953</v>
      </c>
      <c r="B12" s="5">
        <v>2</v>
      </c>
      <c r="C12" s="6" t="s">
        <v>950</v>
      </c>
      <c r="D12" s="5" t="s">
        <v>314</v>
      </c>
      <c r="E12" s="6" t="s">
        <v>954</v>
      </c>
      <c r="F12" s="6" t="s">
        <v>955</v>
      </c>
      <c r="G12" s="7"/>
      <c r="H12" s="8"/>
      <c r="I12" s="9"/>
      <c r="J12" s="7"/>
      <c r="K12" s="9"/>
      <c r="L12" s="7"/>
      <c r="M12" s="7"/>
      <c r="N12" s="9"/>
      <c r="O12" s="7"/>
    </row>
    <row r="13" spans="1:15">
      <c r="A13" s="5" t="s">
        <v>956</v>
      </c>
      <c r="B13" s="5">
        <v>2</v>
      </c>
      <c r="C13" s="6" t="s">
        <v>950</v>
      </c>
      <c r="D13" s="5" t="s">
        <v>314</v>
      </c>
      <c r="E13" s="6" t="s">
        <v>957</v>
      </c>
      <c r="F13" s="6" t="s">
        <v>958</v>
      </c>
      <c r="G13" s="7"/>
      <c r="H13" s="8"/>
      <c r="I13" s="9"/>
      <c r="J13" s="7"/>
      <c r="K13" s="9"/>
      <c r="L13" s="7"/>
      <c r="M13" s="7"/>
      <c r="N13" s="9"/>
      <c r="O13" s="7"/>
    </row>
    <row r="14" spans="1:15">
      <c r="A14" s="10" t="s">
        <v>959</v>
      </c>
      <c r="B14" s="10">
        <v>2</v>
      </c>
      <c r="C14" s="11" t="s">
        <v>950</v>
      </c>
      <c r="D14" s="10" t="s">
        <v>320</v>
      </c>
      <c r="E14" s="11" t="s">
        <v>960</v>
      </c>
      <c r="F14" s="11" t="s">
        <v>961</v>
      </c>
      <c r="G14" s="7"/>
      <c r="H14" s="8"/>
      <c r="I14" s="9"/>
      <c r="J14" s="7"/>
      <c r="K14" s="9"/>
      <c r="L14" s="7"/>
      <c r="M14" s="7"/>
      <c r="N14" s="9"/>
      <c r="O14" s="7"/>
    </row>
    <row r="15" spans="1:15">
      <c r="A15" s="10" t="s">
        <v>962</v>
      </c>
      <c r="B15" s="10">
        <v>2</v>
      </c>
      <c r="C15" s="11" t="s">
        <v>950</v>
      </c>
      <c r="D15" s="10" t="s">
        <v>320</v>
      </c>
      <c r="E15" s="11" t="s">
        <v>963</v>
      </c>
      <c r="F15" s="11" t="s">
        <v>964</v>
      </c>
      <c r="G15" s="7"/>
      <c r="H15" s="8"/>
      <c r="I15" s="9"/>
      <c r="J15" s="7"/>
      <c r="K15" s="9"/>
      <c r="L15" s="7"/>
      <c r="M15" s="7"/>
      <c r="N15" s="9"/>
      <c r="O15" s="7"/>
    </row>
    <row r="16" spans="1:15">
      <c r="A16" s="10" t="s">
        <v>965</v>
      </c>
      <c r="B16" s="10">
        <v>2</v>
      </c>
      <c r="C16" s="11" t="s">
        <v>950</v>
      </c>
      <c r="D16" s="10" t="s">
        <v>320</v>
      </c>
      <c r="E16" s="11" t="s">
        <v>966</v>
      </c>
      <c r="F16" s="11" t="s">
        <v>967</v>
      </c>
      <c r="G16" s="7"/>
      <c r="H16" s="8"/>
      <c r="I16" s="9"/>
      <c r="J16" s="7"/>
      <c r="K16" s="9"/>
      <c r="L16" s="7"/>
      <c r="M16" s="7"/>
      <c r="N16" s="9"/>
      <c r="O16" s="7"/>
    </row>
    <row r="17" ht="26.4" spans="1:15">
      <c r="A17" s="10" t="s">
        <v>968</v>
      </c>
      <c r="B17" s="10">
        <v>2</v>
      </c>
      <c r="C17" s="11" t="s">
        <v>950</v>
      </c>
      <c r="D17" s="10" t="s">
        <v>320</v>
      </c>
      <c r="E17" s="11" t="s">
        <v>969</v>
      </c>
      <c r="F17" s="11" t="s">
        <v>58</v>
      </c>
      <c r="G17" s="7"/>
      <c r="H17" s="8"/>
      <c r="I17" s="9"/>
      <c r="J17" s="7"/>
      <c r="K17" s="9"/>
      <c r="L17" s="7"/>
      <c r="M17" s="7"/>
      <c r="N17" s="9"/>
      <c r="O17" s="7"/>
    </row>
    <row r="18" spans="1:15">
      <c r="A18" s="10" t="s">
        <v>970</v>
      </c>
      <c r="B18" s="10">
        <v>2</v>
      </c>
      <c r="C18" s="11" t="s">
        <v>950</v>
      </c>
      <c r="D18" s="10" t="s">
        <v>320</v>
      </c>
      <c r="E18" s="11" t="s">
        <v>971</v>
      </c>
      <c r="F18" s="11" t="s">
        <v>972</v>
      </c>
      <c r="G18" s="7"/>
      <c r="H18" s="8"/>
      <c r="I18" s="9"/>
      <c r="J18" s="7"/>
      <c r="K18" s="9"/>
      <c r="L18" s="7"/>
      <c r="M18" s="7"/>
      <c r="N18" s="9"/>
      <c r="O18" s="7"/>
    </row>
    <row r="19" spans="1:15">
      <c r="A19" s="12" t="s">
        <v>973</v>
      </c>
    </row>
    <row r="20" ht="26.4" spans="1:15">
      <c r="A20" s="5" t="s">
        <v>974</v>
      </c>
      <c r="B20" s="5">
        <v>3</v>
      </c>
      <c r="C20" s="6" t="s">
        <v>975</v>
      </c>
      <c r="D20" s="5" t="s">
        <v>314</v>
      </c>
      <c r="E20" s="6" t="s">
        <v>976</v>
      </c>
      <c r="F20" s="6" t="s">
        <v>977</v>
      </c>
      <c r="G20" s="7"/>
      <c r="H20" s="8"/>
      <c r="I20" s="9"/>
      <c r="J20" s="7"/>
      <c r="K20" s="9"/>
      <c r="L20" s="7"/>
      <c r="M20" s="7"/>
      <c r="N20" s="9"/>
      <c r="O20" s="7"/>
    </row>
    <row r="21" spans="1:15">
      <c r="A21" s="5" t="s">
        <v>978</v>
      </c>
      <c r="B21" s="5">
        <v>3</v>
      </c>
      <c r="C21" s="6" t="s">
        <v>975</v>
      </c>
      <c r="D21" s="5" t="s">
        <v>314</v>
      </c>
      <c r="E21" s="6" t="s">
        <v>979</v>
      </c>
      <c r="F21" s="6" t="s">
        <v>980</v>
      </c>
      <c r="G21" s="7"/>
      <c r="H21" s="8"/>
      <c r="I21" s="9"/>
      <c r="J21" s="7"/>
      <c r="K21" s="9"/>
      <c r="L21" s="7"/>
      <c r="M21" s="7"/>
      <c r="N21" s="9"/>
      <c r="O21" s="7"/>
    </row>
    <row r="22" ht="26.4" spans="1:15">
      <c r="A22" s="5" t="s">
        <v>981</v>
      </c>
      <c r="B22" s="5">
        <v>3</v>
      </c>
      <c r="C22" s="6" t="s">
        <v>975</v>
      </c>
      <c r="D22" s="5" t="s">
        <v>314</v>
      </c>
      <c r="E22" s="6" t="s">
        <v>982</v>
      </c>
      <c r="F22" s="6" t="s">
        <v>983</v>
      </c>
      <c r="G22" s="7"/>
      <c r="H22" s="8"/>
      <c r="I22" s="9"/>
      <c r="J22" s="7"/>
      <c r="K22" s="9"/>
      <c r="L22" s="7"/>
      <c r="M22" s="7"/>
      <c r="N22" s="9"/>
      <c r="O22" s="7"/>
    </row>
    <row r="23" spans="1:15">
      <c r="A23" s="10" t="s">
        <v>984</v>
      </c>
      <c r="B23" s="10">
        <v>3</v>
      </c>
      <c r="C23" s="11" t="s">
        <v>975</v>
      </c>
      <c r="D23" s="10" t="s">
        <v>320</v>
      </c>
      <c r="E23" s="11" t="s">
        <v>985</v>
      </c>
      <c r="F23" s="11" t="s">
        <v>986</v>
      </c>
      <c r="G23" s="7"/>
      <c r="H23" s="8"/>
      <c r="I23" s="9"/>
      <c r="J23" s="7"/>
      <c r="K23" s="9"/>
      <c r="L23" s="7"/>
      <c r="M23" s="7"/>
      <c r="N23" s="9"/>
      <c r="O23" s="7"/>
    </row>
    <row r="24" spans="1:15">
      <c r="A24" s="10" t="s">
        <v>987</v>
      </c>
      <c r="B24" s="10">
        <v>3</v>
      </c>
      <c r="C24" s="11" t="s">
        <v>975</v>
      </c>
      <c r="D24" s="10" t="s">
        <v>320</v>
      </c>
      <c r="E24" s="11" t="s">
        <v>988</v>
      </c>
      <c r="F24" s="11" t="s">
        <v>58</v>
      </c>
      <c r="G24" s="7"/>
      <c r="H24" s="8"/>
      <c r="I24" s="9"/>
      <c r="J24" s="7"/>
      <c r="K24" s="9"/>
      <c r="L24" s="7"/>
      <c r="M24" s="7"/>
      <c r="N24" s="9"/>
      <c r="O24" s="7"/>
    </row>
    <row r="25" spans="1:15">
      <c r="A25" s="10" t="s">
        <v>989</v>
      </c>
      <c r="B25" s="10">
        <v>3</v>
      </c>
      <c r="C25" s="11" t="s">
        <v>975</v>
      </c>
      <c r="D25" s="10" t="s">
        <v>320</v>
      </c>
      <c r="E25" s="11" t="s">
        <v>990</v>
      </c>
      <c r="F25" s="11" t="s">
        <v>991</v>
      </c>
      <c r="G25" s="7"/>
      <c r="H25" s="8"/>
      <c r="I25" s="9"/>
      <c r="J25" s="7"/>
      <c r="K25" s="9"/>
      <c r="L25" s="7"/>
      <c r="M25" s="7"/>
      <c r="N25" s="9"/>
      <c r="O25" s="7"/>
    </row>
    <row r="26" spans="1:15">
      <c r="A26" s="10" t="s">
        <v>992</v>
      </c>
      <c r="B26" s="10">
        <v>3</v>
      </c>
      <c r="C26" s="11" t="s">
        <v>975</v>
      </c>
      <c r="D26" s="10" t="s">
        <v>320</v>
      </c>
      <c r="E26" s="11" t="s">
        <v>993</v>
      </c>
      <c r="F26" s="11" t="s">
        <v>58</v>
      </c>
      <c r="G26" s="7"/>
      <c r="H26" s="8"/>
      <c r="I26" s="9"/>
      <c r="J26" s="7"/>
      <c r="K26" s="9"/>
      <c r="L26" s="7"/>
      <c r="M26" s="7"/>
      <c r="N26" s="9"/>
      <c r="O26" s="7"/>
    </row>
    <row r="27" spans="1:15">
      <c r="A27" s="10" t="s">
        <v>994</v>
      </c>
      <c r="B27" s="10">
        <v>3</v>
      </c>
      <c r="C27" s="11" t="s">
        <v>975</v>
      </c>
      <c r="D27" s="10" t="s">
        <v>320</v>
      </c>
      <c r="E27" s="11" t="s">
        <v>995</v>
      </c>
      <c r="F27" s="11" t="s">
        <v>58</v>
      </c>
      <c r="G27" s="7"/>
      <c r="H27" s="8"/>
      <c r="I27" s="9"/>
      <c r="J27" s="7"/>
      <c r="K27" s="9"/>
      <c r="L27" s="7"/>
      <c r="M27" s="7"/>
      <c r="N27" s="9"/>
      <c r="O27" s="7"/>
    </row>
    <row r="28" spans="1:15">
      <c r="A28" s="12" t="s">
        <v>996</v>
      </c>
    </row>
    <row r="29" ht="26.4" spans="1:15">
      <c r="A29" s="5" t="s">
        <v>997</v>
      </c>
      <c r="B29" s="5">
        <v>4</v>
      </c>
      <c r="C29" s="6" t="s">
        <v>998</v>
      </c>
      <c r="D29" s="5" t="s">
        <v>314</v>
      </c>
      <c r="E29" s="6" t="s">
        <v>999</v>
      </c>
      <c r="F29" s="6" t="s">
        <v>1000</v>
      </c>
      <c r="G29" s="7"/>
      <c r="H29" s="8"/>
      <c r="I29" s="9"/>
      <c r="J29" s="7"/>
      <c r="K29" s="9"/>
      <c r="L29" s="7"/>
      <c r="M29" s="7"/>
      <c r="N29" s="9"/>
      <c r="O29" s="7"/>
    </row>
    <row r="30" spans="1:15">
      <c r="A30" s="5" t="s">
        <v>1001</v>
      </c>
      <c r="B30" s="5">
        <v>4</v>
      </c>
      <c r="C30" s="6" t="s">
        <v>998</v>
      </c>
      <c r="D30" s="5" t="s">
        <v>314</v>
      </c>
      <c r="E30" s="6" t="s">
        <v>1002</v>
      </c>
      <c r="F30" s="6" t="s">
        <v>1003</v>
      </c>
      <c r="G30" s="7"/>
      <c r="H30" s="8"/>
      <c r="I30" s="9"/>
      <c r="J30" s="7"/>
      <c r="K30" s="9"/>
      <c r="L30" s="7"/>
      <c r="M30" s="7"/>
      <c r="N30" s="9"/>
      <c r="O30" s="7"/>
    </row>
    <row r="31" spans="1:15">
      <c r="A31" s="5" t="s">
        <v>1004</v>
      </c>
      <c r="B31" s="5">
        <v>4</v>
      </c>
      <c r="C31" s="6" t="s">
        <v>998</v>
      </c>
      <c r="D31" s="5" t="s">
        <v>314</v>
      </c>
      <c r="E31" s="6" t="s">
        <v>1005</v>
      </c>
      <c r="F31" s="6" t="s">
        <v>1006</v>
      </c>
      <c r="G31" s="7"/>
      <c r="H31" s="8"/>
      <c r="I31" s="9"/>
      <c r="J31" s="7"/>
      <c r="K31" s="9"/>
      <c r="L31" s="7"/>
      <c r="M31" s="7"/>
      <c r="N31" s="9"/>
      <c r="O31" s="7"/>
    </row>
    <row r="32" spans="1:15">
      <c r="A32" s="10" t="s">
        <v>1007</v>
      </c>
      <c r="B32" s="10">
        <v>4</v>
      </c>
      <c r="C32" s="11" t="s">
        <v>998</v>
      </c>
      <c r="D32" s="10" t="s">
        <v>320</v>
      </c>
      <c r="E32" s="11" t="s">
        <v>1008</v>
      </c>
      <c r="F32" s="11" t="s">
        <v>58</v>
      </c>
      <c r="G32" s="7"/>
      <c r="H32" s="8"/>
      <c r="I32" s="9"/>
      <c r="J32" s="7"/>
      <c r="K32" s="9"/>
      <c r="L32" s="7"/>
      <c r="M32" s="7"/>
      <c r="N32" s="9"/>
      <c r="O32" s="7"/>
    </row>
    <row r="33" spans="1:15">
      <c r="A33" s="10" t="s">
        <v>1009</v>
      </c>
      <c r="B33" s="10">
        <v>4</v>
      </c>
      <c r="C33" s="11" t="s">
        <v>998</v>
      </c>
      <c r="D33" s="10" t="s">
        <v>320</v>
      </c>
      <c r="E33" s="11" t="s">
        <v>1010</v>
      </c>
      <c r="F33" s="11" t="s">
        <v>1011</v>
      </c>
      <c r="G33" s="7"/>
      <c r="H33" s="8"/>
      <c r="I33" s="9"/>
      <c r="J33" s="7"/>
      <c r="K33" s="9"/>
      <c r="L33" s="7"/>
      <c r="M33" s="7"/>
      <c r="N33" s="9"/>
      <c r="O33" s="7"/>
    </row>
    <row r="34" spans="1:15">
      <c r="A34" s="10" t="s">
        <v>1012</v>
      </c>
      <c r="B34" s="10">
        <v>4</v>
      </c>
      <c r="C34" s="11" t="s">
        <v>998</v>
      </c>
      <c r="D34" s="10" t="s">
        <v>320</v>
      </c>
      <c r="E34" s="11" t="s">
        <v>1013</v>
      </c>
      <c r="F34" s="11" t="s">
        <v>1014</v>
      </c>
      <c r="G34" s="7"/>
      <c r="H34" s="8"/>
      <c r="I34" s="9"/>
      <c r="J34" s="7"/>
      <c r="K34" s="9"/>
      <c r="L34" s="7"/>
      <c r="M34" s="7"/>
      <c r="N34" s="9"/>
      <c r="O34" s="7"/>
    </row>
    <row r="35" spans="1:15">
      <c r="A35" s="10" t="s">
        <v>1015</v>
      </c>
      <c r="B35" s="10">
        <v>4</v>
      </c>
      <c r="C35" s="11" t="s">
        <v>998</v>
      </c>
      <c r="D35" s="10" t="s">
        <v>320</v>
      </c>
      <c r="E35" s="11" t="s">
        <v>1016</v>
      </c>
      <c r="F35" s="11" t="s">
        <v>1017</v>
      </c>
      <c r="G35" s="7"/>
      <c r="H35" s="8"/>
      <c r="I35" s="9"/>
      <c r="J35" s="7"/>
      <c r="K35" s="9"/>
      <c r="L35" s="7"/>
      <c r="M35" s="7"/>
      <c r="N35" s="9"/>
      <c r="O35" s="7"/>
    </row>
    <row r="36" spans="1:15">
      <c r="A36" s="12" t="s">
        <v>1018</v>
      </c>
    </row>
    <row r="37" spans="1:15">
      <c r="A37" s="5" t="s">
        <v>1019</v>
      </c>
      <c r="B37" s="5">
        <v>5</v>
      </c>
      <c r="C37" s="6" t="s">
        <v>1020</v>
      </c>
      <c r="D37" s="5" t="s">
        <v>314</v>
      </c>
      <c r="E37" s="6" t="s">
        <v>1021</v>
      </c>
      <c r="F37" s="6" t="s">
        <v>1022</v>
      </c>
      <c r="G37" s="7"/>
      <c r="H37" s="8"/>
      <c r="I37" s="9"/>
      <c r="J37" s="7"/>
      <c r="K37" s="9"/>
      <c r="L37" s="7"/>
      <c r="M37" s="7"/>
      <c r="N37" s="9"/>
      <c r="O37" s="7"/>
    </row>
    <row r="38" ht="26.4" spans="1:15">
      <c r="A38" s="10" t="s">
        <v>1023</v>
      </c>
      <c r="B38" s="10">
        <v>5</v>
      </c>
      <c r="C38" s="11" t="s">
        <v>1020</v>
      </c>
      <c r="D38" s="10" t="s">
        <v>320</v>
      </c>
      <c r="E38" s="11" t="s">
        <v>1024</v>
      </c>
      <c r="F38" s="11" t="s">
        <v>58</v>
      </c>
      <c r="G38" s="7"/>
      <c r="H38" s="8"/>
      <c r="I38" s="9"/>
      <c r="J38" s="7"/>
      <c r="K38" s="9"/>
      <c r="L38" s="7"/>
      <c r="M38" s="7"/>
      <c r="N38" s="9"/>
      <c r="O38" s="7"/>
    </row>
  </sheetData>
  <autoFilter xmlns:etc="http://www.wps.cn/officeDocument/2017/etCustomData" ref="A5:O38" etc:filterBottomFollowUsedRange="0">
    <extLst/>
  </autoFilter>
  <mergeCells count="8">
    <mergeCell ref="A1:O1"/>
    <mergeCell ref="A2:O2"/>
    <mergeCell ref="A3:O3"/>
    <mergeCell ref="A6:O6"/>
    <mergeCell ref="A10:O10"/>
    <mergeCell ref="A19:O19"/>
    <mergeCell ref="A28:O28"/>
    <mergeCell ref="A36:O36"/>
  </mergeCells>
  <conditionalFormatting sqref="I6:I600">
    <cfRule type="expression" dxfId="4" priority="1">
      <formula>$I6="Đạt"</formula>
    </cfRule>
    <cfRule type="expression" dxfId="5" priority="2">
      <formula>$I6="Không đạt"</formula>
    </cfRule>
    <cfRule type="expression" dxfId="6" priority="3">
      <formula>$I6="Bị chặn"</formula>
    </cfRule>
  </conditionalFormatting>
  <conditionalFormatting sqref="J6:J600">
    <cfRule type="expression" dxfId="7" priority="4">
      <formula>AND(OR($I6="Không đạt",$I6="Bị chặn"),LEN(TRIM($J6))=0)</formula>
    </cfRule>
  </conditionalFormatting>
  <conditionalFormatting sqref="K6:K600">
    <cfRule type="expression" dxfId="7" priority="5">
      <formula>AND($I6="Không đạt",LEN(TRIM($K6))=0)</formula>
    </cfRule>
    <cfRule type="expression" dxfId="0" priority="6">
      <formula>$K6="Nghiêm trọng"</formula>
    </cfRule>
  </conditionalFormatting>
  <dataValidations count="4">
    <dataValidation type="date" operator="greaterThan" allowBlank="1" error="Nhập ngày dạng dd/mm/yyyy" sqref="H6:H600">
      <formula1>DATE(2020,1,1)</formula1>
    </dataValidation>
    <dataValidation type="list" allowBlank="1" error="Chọn giá trị trong danh sách" sqref="I6:I600">
      <formula1>"Đạt,Không đạt,Bị chặn,Chưa test"</formula1>
    </dataValidation>
    <dataValidation type="list" allowBlank="1" error="Chọn giá trị trong danh sách" sqref="K6:K600">
      <formula1>"Nghiêm trọng,Cao,Trung bình,Thấp"</formula1>
    </dataValidation>
    <dataValidation type="list" allowBlank="1" error="Chọn giá trị trong danh sách" sqref="N6:N600">
      <formula1>"Mới,Đang sửa,Đã sửa – chờ test lại,Test lại đạt,Không sửa"</formula1>
    </dataValidation>
  </dataValidations>
  <hyperlinks>
    <hyperlink ref="A3" r:id="rId1" display="Kế toán giữ các &quot;cổng tiền&quot; của đơn hàng: chưa xác nhận đã thu đợt trước đặt hàng thì Mua hàng không chốt được PO; chưa xuất hóa đơn chính thức thì Kho không xuất được hàng. Ngoài ra Kế toán theo dõi công nợ khách hàng và rà soát tổng doanh số theo Hãng.  →  Workflow từng bước (ai làm, vào menu nào, kết quả) xem ở sheet &quot;Workflow&quot;. Cột &quot;Bước&quot; dưới đây khớp số bước trong Workflow."/>
  </hyperlinks>
  <pageMargins left="0.75" right="0.75" top="1" bottom="1" header="0.5" footer="0.5"/>
  <pageSetup paperSize="1" fitToHeight="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39"/>
  <sheetViews>
    <sheetView zoomScale="90" zoomScaleNormal="90" workbookViewId="0">
      <pane xSplit="2" ySplit="5" topLeftCell="C6" activePane="bottomRight" state="frozen"/>
      <selection/>
      <selection pane="topRight"/>
      <selection pane="bottomLeft"/>
      <selection pane="bottomRight" activeCell="A1" sqref="A1:O1"/>
    </sheetView>
  </sheetViews>
  <sheetFormatPr defaultColWidth="9" defaultRowHeight="14.4"/>
  <cols>
    <col min="1" max="1" width="10" customWidth="1"/>
    <col min="2" max="2" width="7" customWidth="1"/>
    <col min="3" max="3" width="16" customWidth="1"/>
    <col min="4" max="4" width="12" customWidth="1"/>
    <col min="5" max="5" width="46" customWidth="1"/>
    <col min="6" max="6" width="42" customWidth="1"/>
    <col min="7" max="7" width="14" customWidth="1"/>
    <col min="8" max="9" width="12" customWidth="1"/>
    <col min="10" max="10" width="46" customWidth="1"/>
    <col min="11" max="11" width="13" customWidth="1"/>
    <col min="12" max="12" width="26" customWidth="1"/>
    <col min="13" max="13" width="30" customWidth="1"/>
    <col min="14" max="14" width="16" customWidth="1"/>
    <col min="15" max="15" width="22" customWidth="1"/>
  </cols>
  <sheetData>
    <row r="1" ht="24" customHeight="1" spans="1:15">
      <c r="A1" s="1" t="s">
        <v>1025</v>
      </c>
    </row>
    <row r="2" spans="1:15">
      <c r="A2" s="2" t="s">
        <v>1026</v>
      </c>
    </row>
    <row r="3" ht="48" customHeight="1" spans="1:15">
      <c r="A3" s="3" t="s">
        <v>1027</v>
      </c>
    </row>
    <row r="5" ht="42" customHeight="1" spans="1:15">
      <c r="A5" s="4" t="s">
        <v>27</v>
      </c>
      <c r="B5" s="4" t="s">
        <v>92</v>
      </c>
      <c r="C5" s="4" t="s">
        <v>303</v>
      </c>
      <c r="D5" s="4" t="s">
        <v>304</v>
      </c>
      <c r="E5" s="4" t="s">
        <v>29</v>
      </c>
      <c r="F5" s="4" t="s">
        <v>31</v>
      </c>
      <c r="G5" s="4" t="s">
        <v>305</v>
      </c>
      <c r="H5" s="4" t="s">
        <v>306</v>
      </c>
      <c r="I5" s="4" t="s">
        <v>14</v>
      </c>
      <c r="J5" s="4" t="s">
        <v>307</v>
      </c>
      <c r="K5" s="4" t="s">
        <v>18</v>
      </c>
      <c r="L5" s="4" t="s">
        <v>308</v>
      </c>
      <c r="M5" s="4" t="s">
        <v>309</v>
      </c>
      <c r="N5" s="4" t="s">
        <v>310</v>
      </c>
      <c r="O5" s="4" t="s">
        <v>24</v>
      </c>
    </row>
    <row r="6" spans="1:15">
      <c r="A6" s="12" t="s">
        <v>1028</v>
      </c>
    </row>
    <row r="7" ht="26.4" spans="1:15">
      <c r="A7" s="5" t="s">
        <v>1029</v>
      </c>
      <c r="B7" s="5">
        <v>1</v>
      </c>
      <c r="C7" s="6" t="s">
        <v>1030</v>
      </c>
      <c r="D7" s="5" t="s">
        <v>314</v>
      </c>
      <c r="E7" s="6" t="s">
        <v>1031</v>
      </c>
      <c r="F7" s="6" t="s">
        <v>1032</v>
      </c>
      <c r="G7" s="7"/>
      <c r="H7" s="8"/>
      <c r="I7" s="9"/>
      <c r="J7" s="7"/>
      <c r="K7" s="9"/>
      <c r="L7" s="7"/>
      <c r="M7" s="7"/>
      <c r="N7" s="9"/>
      <c r="O7" s="7"/>
    </row>
    <row r="8" ht="26.4" spans="1:15">
      <c r="A8" s="5" t="s">
        <v>1033</v>
      </c>
      <c r="B8" s="5">
        <v>1</v>
      </c>
      <c r="C8" s="6" t="s">
        <v>1030</v>
      </c>
      <c r="D8" s="5" t="s">
        <v>314</v>
      </c>
      <c r="E8" s="6" t="s">
        <v>1034</v>
      </c>
      <c r="F8" s="6" t="s">
        <v>1035</v>
      </c>
      <c r="G8" s="7"/>
      <c r="H8" s="8"/>
      <c r="I8" s="9"/>
      <c r="J8" s="7"/>
      <c r="K8" s="9"/>
      <c r="L8" s="7"/>
      <c r="M8" s="7"/>
      <c r="N8" s="9"/>
      <c r="O8" s="7"/>
    </row>
    <row r="9" spans="1:15">
      <c r="A9" s="5" t="s">
        <v>1036</v>
      </c>
      <c r="B9" s="5">
        <v>1</v>
      </c>
      <c r="C9" s="6" t="s">
        <v>1030</v>
      </c>
      <c r="D9" s="5" t="s">
        <v>314</v>
      </c>
      <c r="E9" s="6" t="s">
        <v>1037</v>
      </c>
      <c r="F9" s="6" t="s">
        <v>1038</v>
      </c>
      <c r="G9" s="7"/>
      <c r="H9" s="8"/>
      <c r="I9" s="9"/>
      <c r="J9" s="7"/>
      <c r="K9" s="9"/>
      <c r="L9" s="7"/>
      <c r="M9" s="7"/>
      <c r="N9" s="9"/>
      <c r="O9" s="7"/>
    </row>
    <row r="10" spans="1:15">
      <c r="A10" s="5" t="s">
        <v>1039</v>
      </c>
      <c r="B10" s="5">
        <v>1</v>
      </c>
      <c r="C10" s="6" t="s">
        <v>1040</v>
      </c>
      <c r="D10" s="5" t="s">
        <v>314</v>
      </c>
      <c r="E10" s="6" t="s">
        <v>1041</v>
      </c>
      <c r="F10" s="6" t="s">
        <v>1042</v>
      </c>
      <c r="G10" s="7"/>
      <c r="H10" s="8"/>
      <c r="I10" s="9"/>
      <c r="J10" s="7"/>
      <c r="K10" s="9"/>
      <c r="L10" s="7"/>
      <c r="M10" s="7"/>
      <c r="N10" s="9"/>
      <c r="O10" s="7"/>
    </row>
    <row r="11" spans="1:15">
      <c r="A11" s="5" t="s">
        <v>1043</v>
      </c>
      <c r="B11" s="5">
        <v>1</v>
      </c>
      <c r="C11" s="6" t="s">
        <v>1040</v>
      </c>
      <c r="D11" s="5" t="s">
        <v>314</v>
      </c>
      <c r="E11" s="6" t="s">
        <v>1044</v>
      </c>
      <c r="F11" s="6" t="s">
        <v>1045</v>
      </c>
      <c r="G11" s="7"/>
      <c r="H11" s="8"/>
      <c r="I11" s="9"/>
      <c r="J11" s="7"/>
      <c r="K11" s="9"/>
      <c r="L11" s="7"/>
      <c r="M11" s="7"/>
      <c r="N11" s="9"/>
      <c r="O11" s="7"/>
    </row>
    <row r="12" spans="1:15">
      <c r="A12" s="10" t="s">
        <v>1046</v>
      </c>
      <c r="B12" s="10">
        <v>1</v>
      </c>
      <c r="C12" s="11" t="s">
        <v>1030</v>
      </c>
      <c r="D12" s="10" t="s">
        <v>320</v>
      </c>
      <c r="E12" s="11" t="s">
        <v>1047</v>
      </c>
      <c r="F12" s="11" t="s">
        <v>747</v>
      </c>
      <c r="G12" s="7"/>
      <c r="H12" s="8"/>
      <c r="I12" s="9"/>
      <c r="J12" s="7"/>
      <c r="K12" s="9"/>
      <c r="L12" s="7"/>
      <c r="M12" s="7"/>
      <c r="N12" s="9"/>
      <c r="O12" s="7"/>
    </row>
    <row r="13" spans="1:15">
      <c r="A13" s="10" t="s">
        <v>1048</v>
      </c>
      <c r="B13" s="10">
        <v>1</v>
      </c>
      <c r="C13" s="11" t="s">
        <v>1030</v>
      </c>
      <c r="D13" s="10" t="s">
        <v>320</v>
      </c>
      <c r="E13" s="11" t="s">
        <v>1049</v>
      </c>
      <c r="F13" s="11" t="s">
        <v>58</v>
      </c>
      <c r="G13" s="7"/>
      <c r="H13" s="8"/>
      <c r="I13" s="9"/>
      <c r="J13" s="7"/>
      <c r="K13" s="9"/>
      <c r="L13" s="7"/>
      <c r="M13" s="7"/>
      <c r="N13" s="9"/>
      <c r="O13" s="7"/>
    </row>
    <row r="14" spans="1:15">
      <c r="A14" s="12" t="s">
        <v>1050</v>
      </c>
    </row>
    <row r="15" spans="1:15">
      <c r="A15" s="5" t="s">
        <v>1051</v>
      </c>
      <c r="B15" s="5">
        <v>2</v>
      </c>
      <c r="C15" s="6" t="s">
        <v>1052</v>
      </c>
      <c r="D15" s="5" t="s">
        <v>314</v>
      </c>
      <c r="E15" s="6" t="s">
        <v>1053</v>
      </c>
      <c r="F15" s="6" t="s">
        <v>1054</v>
      </c>
      <c r="G15" s="7"/>
      <c r="H15" s="8"/>
      <c r="I15" s="9"/>
      <c r="J15" s="7"/>
      <c r="K15" s="9"/>
      <c r="L15" s="7"/>
      <c r="M15" s="7"/>
      <c r="N15" s="9"/>
      <c r="O15" s="7"/>
    </row>
    <row r="16" spans="1:15">
      <c r="A16" s="5" t="s">
        <v>1055</v>
      </c>
      <c r="B16" s="5">
        <v>2</v>
      </c>
      <c r="C16" s="6" t="s">
        <v>1052</v>
      </c>
      <c r="D16" s="5" t="s">
        <v>314</v>
      </c>
      <c r="E16" s="6" t="s">
        <v>1056</v>
      </c>
      <c r="F16" s="6" t="s">
        <v>1057</v>
      </c>
      <c r="G16" s="7"/>
      <c r="H16" s="8"/>
      <c r="I16" s="9"/>
      <c r="J16" s="7"/>
      <c r="K16" s="9"/>
      <c r="L16" s="7"/>
      <c r="M16" s="7"/>
      <c r="N16" s="9"/>
      <c r="O16" s="7"/>
    </row>
    <row r="17" spans="1:15">
      <c r="A17" s="10" t="s">
        <v>1058</v>
      </c>
      <c r="B17" s="10">
        <v>2</v>
      </c>
      <c r="C17" s="11" t="s">
        <v>1052</v>
      </c>
      <c r="D17" s="10" t="s">
        <v>320</v>
      </c>
      <c r="E17" s="11" t="s">
        <v>1059</v>
      </c>
      <c r="F17" s="11" t="s">
        <v>1060</v>
      </c>
      <c r="G17" s="7"/>
      <c r="H17" s="8"/>
      <c r="I17" s="9"/>
      <c r="J17" s="7"/>
      <c r="K17" s="9"/>
      <c r="L17" s="7"/>
      <c r="M17" s="7"/>
      <c r="N17" s="9"/>
      <c r="O17" s="7"/>
    </row>
    <row r="18" spans="1:15">
      <c r="A18" s="10" t="s">
        <v>1061</v>
      </c>
      <c r="B18" s="10">
        <v>2</v>
      </c>
      <c r="C18" s="11" t="s">
        <v>1052</v>
      </c>
      <c r="D18" s="10" t="s">
        <v>320</v>
      </c>
      <c r="E18" s="11" t="s">
        <v>1062</v>
      </c>
      <c r="F18" s="11" t="s">
        <v>58</v>
      </c>
      <c r="G18" s="7"/>
      <c r="H18" s="8"/>
      <c r="I18" s="9"/>
      <c r="J18" s="7"/>
      <c r="K18" s="9"/>
      <c r="L18" s="7"/>
      <c r="M18" s="7"/>
      <c r="N18" s="9"/>
      <c r="O18" s="7"/>
    </row>
    <row r="19" ht="26.4" spans="1:15">
      <c r="A19" s="10" t="s">
        <v>1063</v>
      </c>
      <c r="B19" s="10">
        <v>2</v>
      </c>
      <c r="C19" s="11" t="s">
        <v>1052</v>
      </c>
      <c r="D19" s="10" t="s">
        <v>320</v>
      </c>
      <c r="E19" s="11" t="s">
        <v>1064</v>
      </c>
      <c r="F19" s="11" t="s">
        <v>58</v>
      </c>
      <c r="G19" s="7"/>
      <c r="H19" s="8"/>
      <c r="I19" s="9"/>
      <c r="J19" s="7"/>
      <c r="K19" s="9"/>
      <c r="L19" s="7"/>
      <c r="M19" s="7"/>
      <c r="N19" s="9"/>
      <c r="O19" s="7"/>
    </row>
    <row r="20" spans="1:15">
      <c r="A20" s="5" t="s">
        <v>1065</v>
      </c>
      <c r="B20" s="5">
        <v>2</v>
      </c>
      <c r="C20" s="6" t="s">
        <v>1052</v>
      </c>
      <c r="D20" s="5" t="s">
        <v>314</v>
      </c>
      <c r="E20" s="6" t="s">
        <v>1066</v>
      </c>
      <c r="F20" s="6" t="s">
        <v>1067</v>
      </c>
      <c r="G20" s="7"/>
      <c r="H20" s="8"/>
      <c r="I20" s="9"/>
      <c r="J20" s="7"/>
      <c r="K20" s="9"/>
      <c r="L20" s="7"/>
      <c r="M20" s="7"/>
      <c r="N20" s="9"/>
      <c r="O20" s="7"/>
    </row>
    <row r="21" spans="1:15">
      <c r="A21" s="10" t="s">
        <v>1068</v>
      </c>
      <c r="B21" s="10">
        <v>2</v>
      </c>
      <c r="C21" s="11" t="s">
        <v>1052</v>
      </c>
      <c r="D21" s="10" t="s">
        <v>320</v>
      </c>
      <c r="E21" s="11" t="s">
        <v>1069</v>
      </c>
      <c r="F21" s="11" t="s">
        <v>58</v>
      </c>
      <c r="G21" s="7"/>
      <c r="H21" s="8"/>
      <c r="I21" s="9"/>
      <c r="J21" s="7"/>
      <c r="K21" s="9"/>
      <c r="L21" s="7"/>
      <c r="M21" s="7"/>
      <c r="N21" s="9"/>
      <c r="O21" s="7"/>
    </row>
    <row r="22" spans="1:15">
      <c r="A22" s="5" t="s">
        <v>1070</v>
      </c>
      <c r="B22" s="5">
        <v>2</v>
      </c>
      <c r="C22" s="6" t="s">
        <v>1052</v>
      </c>
      <c r="D22" s="5" t="s">
        <v>314</v>
      </c>
      <c r="E22" s="6" t="s">
        <v>1071</v>
      </c>
      <c r="F22" s="6" t="s">
        <v>1072</v>
      </c>
      <c r="G22" s="7"/>
      <c r="H22" s="8"/>
      <c r="I22" s="9"/>
      <c r="J22" s="7"/>
      <c r="K22" s="9"/>
      <c r="L22" s="7"/>
      <c r="M22" s="7"/>
      <c r="N22" s="9"/>
      <c r="O22" s="7"/>
    </row>
    <row r="23" spans="1:15">
      <c r="A23" s="12" t="s">
        <v>1073</v>
      </c>
    </row>
    <row r="24" spans="1:15">
      <c r="A24" s="5" t="s">
        <v>1074</v>
      </c>
      <c r="B24" s="5">
        <v>3</v>
      </c>
      <c r="C24" s="6" t="s">
        <v>1075</v>
      </c>
      <c r="D24" s="5" t="s">
        <v>314</v>
      </c>
      <c r="E24" s="6" t="s">
        <v>1076</v>
      </c>
      <c r="F24" s="6" t="s">
        <v>1077</v>
      </c>
      <c r="G24" s="7"/>
      <c r="H24" s="8"/>
      <c r="I24" s="9"/>
      <c r="J24" s="7"/>
      <c r="K24" s="9"/>
      <c r="L24" s="7"/>
      <c r="M24" s="7"/>
      <c r="N24" s="9"/>
      <c r="O24" s="7"/>
    </row>
    <row r="25" spans="1:15">
      <c r="A25" s="5" t="s">
        <v>1078</v>
      </c>
      <c r="B25" s="5">
        <v>3</v>
      </c>
      <c r="C25" s="6" t="s">
        <v>1075</v>
      </c>
      <c r="D25" s="5" t="s">
        <v>314</v>
      </c>
      <c r="E25" s="6" t="s">
        <v>1079</v>
      </c>
      <c r="F25" s="6" t="s">
        <v>1080</v>
      </c>
      <c r="G25" s="7"/>
      <c r="H25" s="8"/>
      <c r="I25" s="9"/>
      <c r="J25" s="7"/>
      <c r="K25" s="9"/>
      <c r="L25" s="7"/>
      <c r="M25" s="7"/>
      <c r="N25" s="9"/>
      <c r="O25" s="7"/>
    </row>
    <row r="26" spans="1:15">
      <c r="A26" s="10" t="s">
        <v>1081</v>
      </c>
      <c r="B26" s="10">
        <v>3</v>
      </c>
      <c r="C26" s="11" t="s">
        <v>1075</v>
      </c>
      <c r="D26" s="10" t="s">
        <v>320</v>
      </c>
      <c r="E26" s="11" t="s">
        <v>1082</v>
      </c>
      <c r="F26" s="11" t="s">
        <v>58</v>
      </c>
      <c r="G26" s="7"/>
      <c r="H26" s="8"/>
      <c r="I26" s="9"/>
      <c r="J26" s="7"/>
      <c r="K26" s="9"/>
      <c r="L26" s="7"/>
      <c r="M26" s="7"/>
      <c r="N26" s="9"/>
      <c r="O26" s="7"/>
    </row>
    <row r="27" ht="26.4" spans="1:15">
      <c r="A27" s="5" t="s">
        <v>1083</v>
      </c>
      <c r="B27" s="5">
        <v>3</v>
      </c>
      <c r="C27" s="6" t="s">
        <v>1075</v>
      </c>
      <c r="D27" s="5" t="s">
        <v>314</v>
      </c>
      <c r="E27" s="6" t="s">
        <v>1084</v>
      </c>
      <c r="F27" s="6" t="s">
        <v>1085</v>
      </c>
      <c r="G27" s="7"/>
      <c r="H27" s="8"/>
      <c r="I27" s="9"/>
      <c r="J27" s="7"/>
      <c r="K27" s="9"/>
      <c r="L27" s="7"/>
      <c r="M27" s="7"/>
      <c r="N27" s="9"/>
      <c r="O27" s="7"/>
    </row>
    <row r="28" spans="1:15">
      <c r="A28" s="10" t="s">
        <v>1086</v>
      </c>
      <c r="B28" s="10">
        <v>3</v>
      </c>
      <c r="C28" s="11" t="s">
        <v>1075</v>
      </c>
      <c r="D28" s="10" t="s">
        <v>320</v>
      </c>
      <c r="E28" s="11" t="s">
        <v>1087</v>
      </c>
      <c r="F28" s="11" t="s">
        <v>58</v>
      </c>
      <c r="G28" s="7"/>
      <c r="H28" s="8"/>
      <c r="I28" s="9"/>
      <c r="J28" s="7"/>
      <c r="K28" s="9"/>
      <c r="L28" s="7"/>
      <c r="M28" s="7"/>
      <c r="N28" s="9"/>
      <c r="O28" s="7"/>
    </row>
    <row r="29" spans="1:15">
      <c r="A29" s="10" t="s">
        <v>1088</v>
      </c>
      <c r="B29" s="10">
        <v>3</v>
      </c>
      <c r="C29" s="11" t="s">
        <v>1075</v>
      </c>
      <c r="D29" s="10" t="s">
        <v>320</v>
      </c>
      <c r="E29" s="11" t="s">
        <v>1089</v>
      </c>
      <c r="F29" s="11" t="s">
        <v>1090</v>
      </c>
      <c r="G29" s="7"/>
      <c r="H29" s="8"/>
      <c r="I29" s="9"/>
      <c r="J29" s="7"/>
      <c r="K29" s="9"/>
      <c r="L29" s="7"/>
      <c r="M29" s="7"/>
      <c r="N29" s="9"/>
      <c r="O29" s="7"/>
    </row>
    <row r="30" spans="1:15">
      <c r="A30" s="12" t="s">
        <v>1091</v>
      </c>
    </row>
    <row r="31" spans="1:15">
      <c r="A31" s="5" t="s">
        <v>1092</v>
      </c>
      <c r="B31" s="5">
        <v>4</v>
      </c>
      <c r="C31" s="6" t="s">
        <v>1093</v>
      </c>
      <c r="D31" s="5" t="s">
        <v>314</v>
      </c>
      <c r="E31" s="6" t="s">
        <v>1094</v>
      </c>
      <c r="F31" s="6" t="s">
        <v>1095</v>
      </c>
      <c r="G31" s="7"/>
      <c r="H31" s="8"/>
      <c r="I31" s="9"/>
      <c r="J31" s="7"/>
      <c r="K31" s="9"/>
      <c r="L31" s="7"/>
      <c r="M31" s="7"/>
      <c r="N31" s="9"/>
      <c r="O31" s="7"/>
    </row>
    <row r="32" spans="1:15">
      <c r="A32" s="10" t="s">
        <v>1096</v>
      </c>
      <c r="B32" s="10">
        <v>4</v>
      </c>
      <c r="C32" s="11" t="s">
        <v>1093</v>
      </c>
      <c r="D32" s="10" t="s">
        <v>320</v>
      </c>
      <c r="E32" s="11" t="s">
        <v>1097</v>
      </c>
      <c r="F32" s="11" t="s">
        <v>58</v>
      </c>
      <c r="G32" s="7"/>
      <c r="H32" s="8"/>
      <c r="I32" s="9"/>
      <c r="J32" s="7"/>
      <c r="K32" s="9"/>
      <c r="L32" s="7"/>
      <c r="M32" s="7"/>
      <c r="N32" s="9"/>
      <c r="O32" s="7"/>
    </row>
    <row r="33" spans="1:15">
      <c r="A33" s="10" t="s">
        <v>1098</v>
      </c>
      <c r="B33" s="10">
        <v>4</v>
      </c>
      <c r="C33" s="11" t="s">
        <v>1093</v>
      </c>
      <c r="D33" s="10" t="s">
        <v>320</v>
      </c>
      <c r="E33" s="11" t="s">
        <v>1099</v>
      </c>
      <c r="F33" s="11" t="s">
        <v>1100</v>
      </c>
      <c r="G33" s="7"/>
      <c r="H33" s="8"/>
      <c r="I33" s="9"/>
      <c r="J33" s="7"/>
      <c r="K33" s="9"/>
      <c r="L33" s="7"/>
      <c r="M33" s="7"/>
      <c r="N33" s="9"/>
      <c r="O33" s="7"/>
    </row>
    <row r="34" spans="1:15">
      <c r="A34" s="12" t="s">
        <v>1101</v>
      </c>
    </row>
    <row r="35" spans="1:15">
      <c r="A35" s="5" t="s">
        <v>1102</v>
      </c>
      <c r="B35" s="5">
        <v>5</v>
      </c>
      <c r="C35" s="6" t="s">
        <v>1103</v>
      </c>
      <c r="D35" s="5" t="s">
        <v>314</v>
      </c>
      <c r="E35" s="6" t="s">
        <v>1104</v>
      </c>
      <c r="F35" s="6" t="s">
        <v>1105</v>
      </c>
      <c r="G35" s="7"/>
      <c r="H35" s="8"/>
      <c r="I35" s="9"/>
      <c r="J35" s="7"/>
      <c r="K35" s="9"/>
      <c r="L35" s="7"/>
      <c r="M35" s="7"/>
      <c r="N35" s="9"/>
      <c r="O35" s="7"/>
    </row>
    <row r="36" spans="1:15">
      <c r="A36" s="10" t="s">
        <v>1106</v>
      </c>
      <c r="B36" s="10">
        <v>5</v>
      </c>
      <c r="C36" s="11" t="s">
        <v>1103</v>
      </c>
      <c r="D36" s="10" t="s">
        <v>320</v>
      </c>
      <c r="E36" s="11" t="s">
        <v>1107</v>
      </c>
      <c r="F36" s="11" t="s">
        <v>1108</v>
      </c>
      <c r="G36" s="7"/>
      <c r="H36" s="8"/>
      <c r="I36" s="9"/>
      <c r="J36" s="7"/>
      <c r="K36" s="9"/>
      <c r="L36" s="7"/>
      <c r="M36" s="7"/>
      <c r="N36" s="9"/>
      <c r="O36" s="7"/>
    </row>
    <row r="37" spans="1:15">
      <c r="A37" s="10" t="s">
        <v>1109</v>
      </c>
      <c r="B37" s="10">
        <v>5</v>
      </c>
      <c r="C37" s="11" t="s">
        <v>1103</v>
      </c>
      <c r="D37" s="10" t="s">
        <v>320</v>
      </c>
      <c r="E37" s="11" t="s">
        <v>1110</v>
      </c>
      <c r="F37" s="11" t="s">
        <v>58</v>
      </c>
      <c r="G37" s="7"/>
      <c r="H37" s="8"/>
      <c r="I37" s="9"/>
      <c r="J37" s="7"/>
      <c r="K37" s="9"/>
      <c r="L37" s="7"/>
      <c r="M37" s="7"/>
      <c r="N37" s="9"/>
      <c r="O37" s="7"/>
    </row>
    <row r="38" spans="1:15">
      <c r="A38" s="12" t="s">
        <v>1111</v>
      </c>
    </row>
    <row r="39" ht="26.4" spans="1:15">
      <c r="A39" s="5" t="s">
        <v>1112</v>
      </c>
      <c r="B39" s="5">
        <v>6</v>
      </c>
      <c r="C39" s="6" t="s">
        <v>609</v>
      </c>
      <c r="D39" s="5" t="s">
        <v>314</v>
      </c>
      <c r="E39" s="6" t="s">
        <v>1113</v>
      </c>
      <c r="F39" s="6" t="s">
        <v>1114</v>
      </c>
      <c r="G39" s="7"/>
      <c r="H39" s="8"/>
      <c r="I39" s="9"/>
      <c r="J39" s="7"/>
      <c r="K39" s="9"/>
      <c r="L39" s="7"/>
      <c r="M39" s="7"/>
      <c r="N39" s="9"/>
      <c r="O39" s="7"/>
    </row>
  </sheetData>
  <autoFilter xmlns:etc="http://www.wps.cn/officeDocument/2017/etCustomData" ref="A5:O39" etc:filterBottomFollowUsedRange="0">
    <extLst/>
  </autoFilter>
  <mergeCells count="9">
    <mergeCell ref="A1:O1"/>
    <mergeCell ref="A2:O2"/>
    <mergeCell ref="A3:O3"/>
    <mergeCell ref="A6:O6"/>
    <mergeCell ref="A14:O14"/>
    <mergeCell ref="A23:O23"/>
    <mergeCell ref="A30:O30"/>
    <mergeCell ref="A34:O34"/>
    <mergeCell ref="A38:O38"/>
  </mergeCells>
  <conditionalFormatting sqref="I6:I600">
    <cfRule type="expression" dxfId="4" priority="1">
      <formula>$I6="Đạt"</formula>
    </cfRule>
    <cfRule type="expression" dxfId="5" priority="2">
      <formula>$I6="Không đạt"</formula>
    </cfRule>
    <cfRule type="expression" dxfId="6" priority="3">
      <formula>$I6="Bị chặn"</formula>
    </cfRule>
  </conditionalFormatting>
  <conditionalFormatting sqref="J6:J600">
    <cfRule type="expression" dxfId="7" priority="4">
      <formula>AND(OR($I6="Không đạt",$I6="Bị chặn"),LEN(TRIM($J6))=0)</formula>
    </cfRule>
  </conditionalFormatting>
  <conditionalFormatting sqref="K6:K600">
    <cfRule type="expression" dxfId="7" priority="5">
      <formula>AND($I6="Không đạt",LEN(TRIM($K6))=0)</formula>
    </cfRule>
    <cfRule type="expression" dxfId="0" priority="6">
      <formula>$K6="Nghiêm trọng"</formula>
    </cfRule>
  </conditionalFormatting>
  <dataValidations count="4">
    <dataValidation type="date" operator="greaterThan" allowBlank="1" error="Nhập ngày dạng dd/mm/yyyy" sqref="H6:H600">
      <formula1>DATE(2020,1,1)</formula1>
    </dataValidation>
    <dataValidation type="list" allowBlank="1" error="Chọn giá trị trong danh sách" sqref="I6:I600">
      <formula1>"Đạt,Không đạt,Bị chặn,Chưa test"</formula1>
    </dataValidation>
    <dataValidation type="list" allowBlank="1" error="Chọn giá trị trong danh sách" sqref="K6:K600">
      <formula1>"Nghiêm trọng,Cao,Trung bình,Thấp"</formula1>
    </dataValidation>
    <dataValidation type="list" allowBlank="1" error="Chọn giá trị trong danh sách" sqref="N6:N600">
      <formula1>"Mới,Đang sửa,Đã sửa – chờ test lại,Test lại đạt,Không sửa"</formula1>
    </dataValidation>
  </dataValidations>
  <hyperlinks>
    <hyperlink ref="A3" r:id="rId1" display="Kỹ thuật làm việc qua ticket. Ai cần kỹ sư (Sales cần BOM, demo, triển khai; khách báo lỗi; nhân viên cần IT) đều tạo ticket. Mỗi ticket có hạn SLA tính bằng giờ làm việc; đồng hồ SLA dừng khi có kỹ sư nhận. Loại đơn giản thì kỹ sư tự nhận, loại phức tạp thì Lead phân công.  →  Workflow từng bước (ai làm, vào menu nào, kết quả) xem ở sheet &quot;Workflow&quot;. Cột &quot;Bước&quot; dưới đây khớp số bước trong Workflow."/>
  </hyperlinks>
  <pageMargins left="0.75" right="0.75" top="1" bottom="1" header="0.5" footer="0.5"/>
  <pageSetup paperSize="1" fitToHeight="0"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31"/>
  <sheetViews>
    <sheetView zoomScale="90" zoomScaleNormal="90" workbookViewId="0">
      <pane xSplit="2" ySplit="5" topLeftCell="C6" activePane="bottomRight" state="frozen"/>
      <selection/>
      <selection pane="topRight"/>
      <selection pane="bottomLeft"/>
      <selection pane="bottomRight" activeCell="A1" sqref="A1:O1"/>
    </sheetView>
  </sheetViews>
  <sheetFormatPr defaultColWidth="9" defaultRowHeight="14.4"/>
  <cols>
    <col min="1" max="1" width="10" customWidth="1"/>
    <col min="2" max="2" width="7" customWidth="1"/>
    <col min="3" max="3" width="16" customWidth="1"/>
    <col min="4" max="4" width="12" customWidth="1"/>
    <col min="5" max="5" width="46" customWidth="1"/>
    <col min="6" max="6" width="42" customWidth="1"/>
    <col min="7" max="7" width="14" customWidth="1"/>
    <col min="8" max="9" width="12" customWidth="1"/>
    <col min="10" max="10" width="46" customWidth="1"/>
    <col min="11" max="11" width="13" customWidth="1"/>
    <col min="12" max="12" width="26" customWidth="1"/>
    <col min="13" max="13" width="30" customWidth="1"/>
    <col min="14" max="14" width="16" customWidth="1"/>
    <col min="15" max="15" width="22" customWidth="1"/>
  </cols>
  <sheetData>
    <row r="1" ht="24" customHeight="1" spans="1:15">
      <c r="A1" s="1" t="s">
        <v>1115</v>
      </c>
    </row>
    <row r="2" spans="1:15">
      <c r="A2" s="2" t="s">
        <v>1116</v>
      </c>
    </row>
    <row r="3" ht="48" customHeight="1" spans="1:15">
      <c r="A3" s="3" t="s">
        <v>1117</v>
      </c>
    </row>
    <row r="5" ht="42" customHeight="1" spans="1:15">
      <c r="A5" s="4" t="s">
        <v>27</v>
      </c>
      <c r="B5" s="4" t="s">
        <v>92</v>
      </c>
      <c r="C5" s="4" t="s">
        <v>303</v>
      </c>
      <c r="D5" s="4" t="s">
        <v>304</v>
      </c>
      <c r="E5" s="4" t="s">
        <v>29</v>
      </c>
      <c r="F5" s="4" t="s">
        <v>31</v>
      </c>
      <c r="G5" s="4" t="s">
        <v>305</v>
      </c>
      <c r="H5" s="4" t="s">
        <v>306</v>
      </c>
      <c r="I5" s="4" t="s">
        <v>14</v>
      </c>
      <c r="J5" s="4" t="s">
        <v>307</v>
      </c>
      <c r="K5" s="4" t="s">
        <v>18</v>
      </c>
      <c r="L5" s="4" t="s">
        <v>308</v>
      </c>
      <c r="M5" s="4" t="s">
        <v>309</v>
      </c>
      <c r="N5" s="4" t="s">
        <v>310</v>
      </c>
      <c r="O5" s="4" t="s">
        <v>24</v>
      </c>
    </row>
    <row r="6" spans="1:15">
      <c r="A6" s="12" t="s">
        <v>1118</v>
      </c>
    </row>
    <row r="7" spans="1:15">
      <c r="A7" s="5" t="s">
        <v>1119</v>
      </c>
      <c r="B7" s="5">
        <v>1</v>
      </c>
      <c r="C7" s="6" t="s">
        <v>1120</v>
      </c>
      <c r="D7" s="5" t="s">
        <v>314</v>
      </c>
      <c r="E7" s="6" t="s">
        <v>1121</v>
      </c>
      <c r="F7" s="6" t="s">
        <v>1122</v>
      </c>
      <c r="G7" s="7"/>
      <c r="H7" s="8"/>
      <c r="I7" s="9"/>
      <c r="J7" s="7"/>
      <c r="K7" s="9"/>
      <c r="L7" s="7"/>
      <c r="M7" s="7"/>
      <c r="N7" s="9"/>
      <c r="O7" s="7"/>
    </row>
    <row r="8" spans="1:15">
      <c r="A8" s="10" t="s">
        <v>1123</v>
      </c>
      <c r="B8" s="10">
        <v>1</v>
      </c>
      <c r="C8" s="11" t="s">
        <v>1120</v>
      </c>
      <c r="D8" s="10" t="s">
        <v>320</v>
      </c>
      <c r="E8" s="11" t="s">
        <v>1124</v>
      </c>
      <c r="F8" s="11" t="s">
        <v>1125</v>
      </c>
      <c r="G8" s="7"/>
      <c r="H8" s="8"/>
      <c r="I8" s="9"/>
      <c r="J8" s="7"/>
      <c r="K8" s="9"/>
      <c r="L8" s="7"/>
      <c r="M8" s="7"/>
      <c r="N8" s="9"/>
      <c r="O8" s="7"/>
    </row>
    <row r="9" spans="1:15">
      <c r="A9" s="5" t="s">
        <v>1126</v>
      </c>
      <c r="B9" s="5">
        <v>1</v>
      </c>
      <c r="C9" s="6" t="s">
        <v>1120</v>
      </c>
      <c r="D9" s="5" t="s">
        <v>314</v>
      </c>
      <c r="E9" s="6" t="s">
        <v>1127</v>
      </c>
      <c r="F9" s="6" t="s">
        <v>1128</v>
      </c>
      <c r="G9" s="7"/>
      <c r="H9" s="8"/>
      <c r="I9" s="9"/>
      <c r="J9" s="7"/>
      <c r="K9" s="9"/>
      <c r="L9" s="7"/>
      <c r="M9" s="7"/>
      <c r="N9" s="9"/>
      <c r="O9" s="7"/>
    </row>
    <row r="10" spans="1:15">
      <c r="A10" s="10" t="s">
        <v>1129</v>
      </c>
      <c r="B10" s="10">
        <v>1</v>
      </c>
      <c r="C10" s="11" t="s">
        <v>1120</v>
      </c>
      <c r="D10" s="10" t="s">
        <v>320</v>
      </c>
      <c r="E10" s="11" t="s">
        <v>1130</v>
      </c>
      <c r="F10" s="11" t="s">
        <v>1131</v>
      </c>
      <c r="G10" s="7"/>
      <c r="H10" s="8"/>
      <c r="I10" s="9"/>
      <c r="J10" s="7"/>
      <c r="K10" s="9"/>
      <c r="L10" s="7"/>
      <c r="M10" s="7"/>
      <c r="N10" s="9"/>
      <c r="O10" s="7"/>
    </row>
    <row r="11" spans="1:15">
      <c r="A11" s="5" t="s">
        <v>1132</v>
      </c>
      <c r="B11" s="5">
        <v>1</v>
      </c>
      <c r="C11" s="6" t="s">
        <v>1133</v>
      </c>
      <c r="D11" s="5" t="s">
        <v>314</v>
      </c>
      <c r="E11" s="6" t="s">
        <v>1134</v>
      </c>
      <c r="F11" s="6" t="s">
        <v>1135</v>
      </c>
      <c r="G11" s="7"/>
      <c r="H11" s="8"/>
      <c r="I11" s="9"/>
      <c r="J11" s="7"/>
      <c r="K11" s="9"/>
      <c r="L11" s="7"/>
      <c r="M11" s="7"/>
      <c r="N11" s="9"/>
      <c r="O11" s="7"/>
    </row>
    <row r="12" spans="1:15">
      <c r="A12" s="10" t="s">
        <v>1136</v>
      </c>
      <c r="B12" s="10">
        <v>1</v>
      </c>
      <c r="C12" s="11" t="s">
        <v>1133</v>
      </c>
      <c r="D12" s="10" t="s">
        <v>320</v>
      </c>
      <c r="E12" s="11" t="s">
        <v>1137</v>
      </c>
      <c r="F12" s="11" t="s">
        <v>58</v>
      </c>
      <c r="G12" s="7"/>
      <c r="H12" s="8"/>
      <c r="I12" s="9"/>
      <c r="J12" s="7"/>
      <c r="K12" s="9"/>
      <c r="L12" s="7"/>
      <c r="M12" s="7"/>
      <c r="N12" s="9"/>
      <c r="O12" s="7"/>
    </row>
    <row r="13" spans="1:15">
      <c r="A13" s="12" t="s">
        <v>1138</v>
      </c>
    </row>
    <row r="14" ht="26.4" spans="1:15">
      <c r="A14" s="5" t="s">
        <v>1139</v>
      </c>
      <c r="B14" s="5">
        <v>2</v>
      </c>
      <c r="C14" s="6" t="s">
        <v>1140</v>
      </c>
      <c r="D14" s="5" t="s">
        <v>314</v>
      </c>
      <c r="E14" s="6" t="s">
        <v>1141</v>
      </c>
      <c r="F14" s="6" t="s">
        <v>1142</v>
      </c>
      <c r="G14" s="7"/>
      <c r="H14" s="8"/>
      <c r="I14" s="9"/>
      <c r="J14" s="7"/>
      <c r="K14" s="9"/>
      <c r="L14" s="7"/>
      <c r="M14" s="7"/>
      <c r="N14" s="9"/>
      <c r="O14" s="7"/>
    </row>
    <row r="15" spans="1:15">
      <c r="A15" s="10" t="s">
        <v>1143</v>
      </c>
      <c r="B15" s="10">
        <v>2</v>
      </c>
      <c r="C15" s="11" t="s">
        <v>1140</v>
      </c>
      <c r="D15" s="10" t="s">
        <v>320</v>
      </c>
      <c r="E15" s="11" t="s">
        <v>1144</v>
      </c>
      <c r="F15" s="11" t="s">
        <v>1145</v>
      </c>
      <c r="G15" s="7"/>
      <c r="H15" s="8"/>
      <c r="I15" s="9"/>
      <c r="J15" s="7"/>
      <c r="K15" s="9"/>
      <c r="L15" s="7"/>
      <c r="M15" s="7"/>
      <c r="N15" s="9"/>
      <c r="O15" s="7"/>
    </row>
    <row r="16" spans="1:15">
      <c r="A16" s="10" t="s">
        <v>1146</v>
      </c>
      <c r="B16" s="10">
        <v>2</v>
      </c>
      <c r="C16" s="11" t="s">
        <v>1140</v>
      </c>
      <c r="D16" s="10" t="s">
        <v>320</v>
      </c>
      <c r="E16" s="11" t="s">
        <v>1147</v>
      </c>
      <c r="F16" s="11" t="s">
        <v>1148</v>
      </c>
      <c r="G16" s="7"/>
      <c r="H16" s="8"/>
      <c r="I16" s="9"/>
      <c r="J16" s="7"/>
      <c r="K16" s="9"/>
      <c r="L16" s="7"/>
      <c r="M16" s="7"/>
      <c r="N16" s="9"/>
      <c r="O16" s="7"/>
    </row>
    <row r="17" ht="26.4" spans="1:15">
      <c r="A17" s="5" t="s">
        <v>1149</v>
      </c>
      <c r="B17" s="5">
        <v>2</v>
      </c>
      <c r="C17" s="6" t="s">
        <v>1140</v>
      </c>
      <c r="D17" s="5" t="s">
        <v>314</v>
      </c>
      <c r="E17" s="6" t="s">
        <v>1150</v>
      </c>
      <c r="F17" s="6" t="s">
        <v>1151</v>
      </c>
      <c r="G17" s="7"/>
      <c r="H17" s="8"/>
      <c r="I17" s="9"/>
      <c r="J17" s="7"/>
      <c r="K17" s="9"/>
      <c r="L17" s="7"/>
      <c r="M17" s="7"/>
      <c r="N17" s="9"/>
      <c r="O17" s="7"/>
    </row>
    <row r="18" spans="1:15">
      <c r="A18" s="5" t="s">
        <v>1152</v>
      </c>
      <c r="B18" s="5">
        <v>2</v>
      </c>
      <c r="C18" s="6" t="s">
        <v>1140</v>
      </c>
      <c r="D18" s="5" t="s">
        <v>314</v>
      </c>
      <c r="E18" s="6" t="s">
        <v>1153</v>
      </c>
      <c r="F18" s="6" t="s">
        <v>1154</v>
      </c>
      <c r="G18" s="7"/>
      <c r="H18" s="8"/>
      <c r="I18" s="9"/>
      <c r="J18" s="7"/>
      <c r="K18" s="9"/>
      <c r="L18" s="7"/>
      <c r="M18" s="7"/>
      <c r="N18" s="9"/>
      <c r="O18" s="7"/>
    </row>
    <row r="19" ht="26.4" spans="1:15">
      <c r="A19" s="10" t="s">
        <v>1155</v>
      </c>
      <c r="B19" s="10">
        <v>2</v>
      </c>
      <c r="C19" s="11" t="s">
        <v>1140</v>
      </c>
      <c r="D19" s="10" t="s">
        <v>320</v>
      </c>
      <c r="E19" s="11" t="s">
        <v>1156</v>
      </c>
      <c r="F19" s="11" t="s">
        <v>58</v>
      </c>
      <c r="G19" s="7"/>
      <c r="H19" s="8"/>
      <c r="I19" s="9"/>
      <c r="J19" s="7"/>
      <c r="K19" s="9"/>
      <c r="L19" s="7"/>
      <c r="M19" s="7"/>
      <c r="N19" s="9"/>
      <c r="O19" s="7"/>
    </row>
    <row r="20" spans="1:15">
      <c r="A20" s="10" t="s">
        <v>1157</v>
      </c>
      <c r="B20" s="10">
        <v>2</v>
      </c>
      <c r="C20" s="11" t="s">
        <v>1140</v>
      </c>
      <c r="D20" s="10" t="s">
        <v>320</v>
      </c>
      <c r="E20" s="11" t="s">
        <v>1158</v>
      </c>
      <c r="F20" s="11" t="s">
        <v>58</v>
      </c>
      <c r="G20" s="7"/>
      <c r="H20" s="8"/>
      <c r="I20" s="9"/>
      <c r="J20" s="7"/>
      <c r="K20" s="9"/>
      <c r="L20" s="7"/>
      <c r="M20" s="7"/>
      <c r="N20" s="9"/>
      <c r="O20" s="7"/>
    </row>
    <row r="21" spans="1:15">
      <c r="A21" s="5" t="s">
        <v>1159</v>
      </c>
      <c r="B21" s="5">
        <v>2</v>
      </c>
      <c r="C21" s="6" t="s">
        <v>1140</v>
      </c>
      <c r="D21" s="5" t="s">
        <v>314</v>
      </c>
      <c r="E21" s="6" t="s">
        <v>1160</v>
      </c>
      <c r="F21" s="6" t="s">
        <v>1161</v>
      </c>
      <c r="G21" s="7"/>
      <c r="H21" s="8"/>
      <c r="I21" s="9"/>
      <c r="J21" s="7"/>
      <c r="K21" s="9"/>
      <c r="L21" s="7"/>
      <c r="M21" s="7"/>
      <c r="N21" s="9"/>
      <c r="O21" s="7"/>
    </row>
    <row r="22" spans="1:15">
      <c r="A22" s="12" t="s">
        <v>1162</v>
      </c>
    </row>
    <row r="23" ht="26.4" spans="1:15">
      <c r="A23" s="5" t="s">
        <v>1163</v>
      </c>
      <c r="B23" s="5">
        <v>3</v>
      </c>
      <c r="C23" s="6" t="s">
        <v>1164</v>
      </c>
      <c r="D23" s="5" t="s">
        <v>314</v>
      </c>
      <c r="E23" s="6" t="s">
        <v>1165</v>
      </c>
      <c r="F23" s="6" t="s">
        <v>1166</v>
      </c>
      <c r="G23" s="7"/>
      <c r="H23" s="8"/>
      <c r="I23" s="9"/>
      <c r="J23" s="7"/>
      <c r="K23" s="9"/>
      <c r="L23" s="7"/>
      <c r="M23" s="7"/>
      <c r="N23" s="9"/>
      <c r="O23" s="7"/>
    </row>
    <row r="24" ht="26.4" spans="1:15">
      <c r="A24" s="10" t="s">
        <v>1167</v>
      </c>
      <c r="B24" s="10">
        <v>3</v>
      </c>
      <c r="C24" s="11" t="s">
        <v>1164</v>
      </c>
      <c r="D24" s="10" t="s">
        <v>320</v>
      </c>
      <c r="E24" s="11" t="s">
        <v>1168</v>
      </c>
      <c r="F24" s="11" t="s">
        <v>1169</v>
      </c>
      <c r="G24" s="7"/>
      <c r="H24" s="8"/>
      <c r="I24" s="9"/>
      <c r="J24" s="7"/>
      <c r="K24" s="9"/>
      <c r="L24" s="7"/>
      <c r="M24" s="7"/>
      <c r="N24" s="9"/>
      <c r="O24" s="7"/>
    </row>
    <row r="25" spans="1:15">
      <c r="A25" s="10" t="s">
        <v>1170</v>
      </c>
      <c r="B25" s="10">
        <v>3</v>
      </c>
      <c r="C25" s="11" t="s">
        <v>1164</v>
      </c>
      <c r="D25" s="10" t="s">
        <v>320</v>
      </c>
      <c r="E25" s="11" t="s">
        <v>1171</v>
      </c>
      <c r="F25" s="11" t="s">
        <v>58</v>
      </c>
      <c r="G25" s="7"/>
      <c r="H25" s="8"/>
      <c r="I25" s="9"/>
      <c r="J25" s="7"/>
      <c r="K25" s="9"/>
      <c r="L25" s="7"/>
      <c r="M25" s="7"/>
      <c r="N25" s="9"/>
      <c r="O25" s="7"/>
    </row>
    <row r="26" ht="26.4" spans="1:15">
      <c r="A26" s="5" t="s">
        <v>1172</v>
      </c>
      <c r="B26" s="5">
        <v>3</v>
      </c>
      <c r="C26" s="6" t="s">
        <v>1164</v>
      </c>
      <c r="D26" s="5" t="s">
        <v>314</v>
      </c>
      <c r="E26" s="6" t="s">
        <v>1173</v>
      </c>
      <c r="F26" s="6" t="s">
        <v>1174</v>
      </c>
      <c r="G26" s="7"/>
      <c r="H26" s="8"/>
      <c r="I26" s="9"/>
      <c r="J26" s="7"/>
      <c r="K26" s="9"/>
      <c r="L26" s="7"/>
      <c r="M26" s="7"/>
      <c r="N26" s="9"/>
      <c r="O26" s="7"/>
    </row>
    <row r="27" ht="26.4" spans="1:15">
      <c r="A27" s="10" t="s">
        <v>1175</v>
      </c>
      <c r="B27" s="10">
        <v>3</v>
      </c>
      <c r="C27" s="11" t="s">
        <v>1164</v>
      </c>
      <c r="D27" s="10" t="s">
        <v>320</v>
      </c>
      <c r="E27" s="11" t="s">
        <v>1176</v>
      </c>
      <c r="F27" s="11" t="s">
        <v>58</v>
      </c>
      <c r="G27" s="7"/>
      <c r="H27" s="8"/>
      <c r="I27" s="9"/>
      <c r="J27" s="7"/>
      <c r="K27" s="9"/>
      <c r="L27" s="7"/>
      <c r="M27" s="7"/>
      <c r="N27" s="9"/>
      <c r="O27" s="7"/>
    </row>
    <row r="28" spans="1:15">
      <c r="A28" s="5" t="s">
        <v>1177</v>
      </c>
      <c r="B28" s="5">
        <v>3</v>
      </c>
      <c r="C28" s="6" t="s">
        <v>1178</v>
      </c>
      <c r="D28" s="5" t="s">
        <v>314</v>
      </c>
      <c r="E28" s="6" t="s">
        <v>1179</v>
      </c>
      <c r="F28" s="6" t="s">
        <v>1180</v>
      </c>
      <c r="G28" s="7"/>
      <c r="H28" s="8"/>
      <c r="I28" s="9"/>
      <c r="J28" s="7"/>
      <c r="K28" s="9"/>
      <c r="L28" s="7"/>
      <c r="M28" s="7"/>
      <c r="N28" s="9"/>
      <c r="O28" s="7"/>
    </row>
    <row r="29" ht="26.4" spans="1:15">
      <c r="A29" s="5" t="s">
        <v>1181</v>
      </c>
      <c r="B29" s="5">
        <v>3</v>
      </c>
      <c r="C29" s="6" t="s">
        <v>1182</v>
      </c>
      <c r="D29" s="5" t="s">
        <v>314</v>
      </c>
      <c r="E29" s="6" t="s">
        <v>1183</v>
      </c>
      <c r="F29" s="6" t="s">
        <v>1184</v>
      </c>
      <c r="G29" s="7"/>
      <c r="H29" s="8"/>
      <c r="I29" s="9"/>
      <c r="J29" s="7"/>
      <c r="K29" s="9"/>
      <c r="L29" s="7"/>
      <c r="M29" s="7"/>
      <c r="N29" s="9"/>
      <c r="O29" s="7"/>
    </row>
    <row r="30" spans="1:15">
      <c r="A30" s="10" t="s">
        <v>1185</v>
      </c>
      <c r="B30" s="10">
        <v>3</v>
      </c>
      <c r="C30" s="11" t="s">
        <v>1182</v>
      </c>
      <c r="D30" s="10" t="s">
        <v>320</v>
      </c>
      <c r="E30" s="11" t="s">
        <v>1186</v>
      </c>
      <c r="F30" s="11" t="s">
        <v>58</v>
      </c>
      <c r="G30" s="7"/>
      <c r="H30" s="8"/>
      <c r="I30" s="9"/>
      <c r="J30" s="7"/>
      <c r="K30" s="9"/>
      <c r="L30" s="7"/>
      <c r="M30" s="7"/>
      <c r="N30" s="9"/>
      <c r="O30" s="7"/>
    </row>
    <row r="31" spans="1:15">
      <c r="A31" s="10" t="s">
        <v>1187</v>
      </c>
      <c r="B31" s="10">
        <v>3</v>
      </c>
      <c r="C31" s="11" t="s">
        <v>1188</v>
      </c>
      <c r="D31" s="10" t="s">
        <v>320</v>
      </c>
      <c r="E31" s="11" t="s">
        <v>1189</v>
      </c>
      <c r="F31" s="11" t="s">
        <v>1190</v>
      </c>
      <c r="G31" s="7"/>
      <c r="H31" s="8"/>
      <c r="I31" s="9"/>
      <c r="J31" s="7"/>
      <c r="K31" s="9"/>
      <c r="L31" s="7"/>
      <c r="M31" s="7"/>
      <c r="N31" s="9"/>
      <c r="O31" s="7"/>
    </row>
  </sheetData>
  <autoFilter xmlns:etc="http://www.wps.cn/officeDocument/2017/etCustomData" ref="A5:O31" etc:filterBottomFollowUsedRange="0">
    <extLst/>
  </autoFilter>
  <mergeCells count="6">
    <mergeCell ref="A1:O1"/>
    <mergeCell ref="A2:O2"/>
    <mergeCell ref="A3:O3"/>
    <mergeCell ref="A6:O6"/>
    <mergeCell ref="A13:O13"/>
    <mergeCell ref="A22:O22"/>
  </mergeCells>
  <conditionalFormatting sqref="I6:I600">
    <cfRule type="expression" dxfId="4" priority="1">
      <formula>$I6="Đạt"</formula>
    </cfRule>
    <cfRule type="expression" dxfId="5" priority="2">
      <formula>$I6="Không đạt"</formula>
    </cfRule>
    <cfRule type="expression" dxfId="6" priority="3">
      <formula>$I6="Bị chặn"</formula>
    </cfRule>
  </conditionalFormatting>
  <conditionalFormatting sqref="J6:J600">
    <cfRule type="expression" dxfId="7" priority="4">
      <formula>AND(OR($I6="Không đạt",$I6="Bị chặn"),LEN(TRIM($J6))=0)</formula>
    </cfRule>
  </conditionalFormatting>
  <conditionalFormatting sqref="K6:K600">
    <cfRule type="expression" dxfId="7" priority="5">
      <formula>AND($I6="Không đạt",LEN(TRIM($K6))=0)</formula>
    </cfRule>
    <cfRule type="expression" dxfId="0" priority="6">
      <formula>$K6="Nghiêm trọng"</formula>
    </cfRule>
  </conditionalFormatting>
  <dataValidations count="4">
    <dataValidation type="date" operator="greaterThan" allowBlank="1" error="Nhập ngày dạng dd/mm/yyyy" sqref="H6:H600">
      <formula1>DATE(2020,1,1)</formula1>
    </dataValidation>
    <dataValidation type="list" allowBlank="1" error="Chọn giá trị trong danh sách" sqref="I6:I600">
      <formula1>"Đạt,Không đạt,Bị chặn,Chưa test"</formula1>
    </dataValidation>
    <dataValidation type="list" allowBlank="1" error="Chọn giá trị trong danh sách" sqref="K6:K600">
      <formula1>"Nghiêm trọng,Cao,Trung bình,Thấp"</formula1>
    </dataValidation>
    <dataValidation type="list" allowBlank="1" error="Chọn giá trị trong danh sách" sqref="N6:N600">
      <formula1>"Mới,Đang sửa,Đã sửa – chờ test lại,Test lại đạt,Không sửa"</formula1>
    </dataValidation>
  </dataValidations>
  <hyperlinks>
    <hyperlink ref="A3" r:id="rId1" display="Marketing có 3 mảng: tổ chức sự kiện, phục vụ yêu cầu của Sales (quà tặng, công tác, chi phí), và quản lý kho vật phẩm cùng quỹ hỗ trợ của Hãng. Mọi khoản tốn tiền đều phải qua BOD duyệt, sau đó Kế toán mới chi.  →  Workflow từng bước (ai làm, vào menu nào, kết quả) xem ở sheet &quot;Workflow&quot;. Cột &quot;Bước&quot; dưới đây khớp số bước trong Workflow."/>
  </hyperlinks>
  <pageMargins left="0.75" right="0.75" top="1" bottom="1" header="0.5" footer="0.5"/>
  <pageSetup paperSize="1" fitToHeight="0"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41"/>
  <sheetViews>
    <sheetView zoomScale="90" zoomScaleNormal="90" workbookViewId="0">
      <pane xSplit="2" ySplit="5" topLeftCell="C6" activePane="bottomRight" state="frozen"/>
      <selection/>
      <selection pane="topRight"/>
      <selection pane="bottomLeft"/>
      <selection pane="bottomRight" activeCell="A1" sqref="A1:O1"/>
    </sheetView>
  </sheetViews>
  <sheetFormatPr defaultColWidth="9" defaultRowHeight="14.4"/>
  <cols>
    <col min="1" max="1" width="10" customWidth="1"/>
    <col min="2" max="2" width="7" customWidth="1"/>
    <col min="3" max="3" width="16" customWidth="1"/>
    <col min="4" max="4" width="12" customWidth="1"/>
    <col min="5" max="5" width="46" customWidth="1"/>
    <col min="6" max="6" width="42" customWidth="1"/>
    <col min="7" max="7" width="14" customWidth="1"/>
    <col min="8" max="9" width="12" customWidth="1"/>
    <col min="10" max="10" width="46" customWidth="1"/>
    <col min="11" max="11" width="13" customWidth="1"/>
    <col min="12" max="12" width="26" customWidth="1"/>
    <col min="13" max="13" width="30" customWidth="1"/>
    <col min="14" max="14" width="16" customWidth="1"/>
    <col min="15" max="15" width="22" customWidth="1"/>
  </cols>
  <sheetData>
    <row r="1" ht="24" customHeight="1" spans="1:15">
      <c r="A1" s="1" t="s">
        <v>1191</v>
      </c>
    </row>
    <row r="2" spans="1:15">
      <c r="A2" s="2" t="s">
        <v>1192</v>
      </c>
    </row>
    <row r="3" ht="48" customHeight="1" spans="1:15">
      <c r="A3" s="3" t="s">
        <v>1193</v>
      </c>
    </row>
    <row r="5" ht="42" customHeight="1" spans="1:15">
      <c r="A5" s="4" t="s">
        <v>27</v>
      </c>
      <c r="B5" s="4" t="s">
        <v>92</v>
      </c>
      <c r="C5" s="4" t="s">
        <v>303</v>
      </c>
      <c r="D5" s="4" t="s">
        <v>304</v>
      </c>
      <c r="E5" s="4" t="s">
        <v>29</v>
      </c>
      <c r="F5" s="4" t="s">
        <v>31</v>
      </c>
      <c r="G5" s="4" t="s">
        <v>305</v>
      </c>
      <c r="H5" s="4" t="s">
        <v>306</v>
      </c>
      <c r="I5" s="4" t="s">
        <v>14</v>
      </c>
      <c r="J5" s="4" t="s">
        <v>307</v>
      </c>
      <c r="K5" s="4" t="s">
        <v>18</v>
      </c>
      <c r="L5" s="4" t="s">
        <v>308</v>
      </c>
      <c r="M5" s="4" t="s">
        <v>309</v>
      </c>
      <c r="N5" s="4" t="s">
        <v>310</v>
      </c>
      <c r="O5" s="4" t="s">
        <v>24</v>
      </c>
    </row>
    <row r="6" spans="1:15">
      <c r="A6" s="12" t="s">
        <v>1194</v>
      </c>
    </row>
    <row r="7" ht="26.4" spans="1:15">
      <c r="A7" s="5" t="s">
        <v>1195</v>
      </c>
      <c r="B7" s="5">
        <v>1</v>
      </c>
      <c r="C7" s="6" t="s">
        <v>1196</v>
      </c>
      <c r="D7" s="5" t="s">
        <v>314</v>
      </c>
      <c r="E7" s="6" t="s">
        <v>1197</v>
      </c>
      <c r="F7" s="6" t="s">
        <v>1198</v>
      </c>
      <c r="G7" s="7"/>
      <c r="H7" s="8"/>
      <c r="I7" s="9"/>
      <c r="J7" s="7"/>
      <c r="K7" s="9"/>
      <c r="L7" s="7"/>
      <c r="M7" s="7"/>
      <c r="N7" s="9"/>
      <c r="O7" s="7"/>
    </row>
    <row r="8" spans="1:15">
      <c r="A8" s="5" t="s">
        <v>1199</v>
      </c>
      <c r="B8" s="5">
        <v>1</v>
      </c>
      <c r="C8" s="6" t="s">
        <v>1196</v>
      </c>
      <c r="D8" s="5" t="s">
        <v>314</v>
      </c>
      <c r="E8" s="6" t="s">
        <v>1200</v>
      </c>
      <c r="F8" s="6" t="s">
        <v>1201</v>
      </c>
      <c r="G8" s="7"/>
      <c r="H8" s="8"/>
      <c r="I8" s="9"/>
      <c r="J8" s="7"/>
      <c r="K8" s="9"/>
      <c r="L8" s="7"/>
      <c r="M8" s="7"/>
      <c r="N8" s="9"/>
      <c r="O8" s="7"/>
    </row>
    <row r="9" ht="26.4" spans="1:15">
      <c r="A9" s="5" t="s">
        <v>1202</v>
      </c>
      <c r="B9" s="5">
        <v>1</v>
      </c>
      <c r="C9" s="6" t="s">
        <v>1196</v>
      </c>
      <c r="D9" s="5" t="s">
        <v>314</v>
      </c>
      <c r="E9" s="6" t="s">
        <v>1203</v>
      </c>
      <c r="F9" s="6" t="s">
        <v>1204</v>
      </c>
      <c r="G9" s="7"/>
      <c r="H9" s="8"/>
      <c r="I9" s="9"/>
      <c r="J9" s="7"/>
      <c r="K9" s="9"/>
      <c r="L9" s="7"/>
      <c r="M9" s="7"/>
      <c r="N9" s="9"/>
      <c r="O9" s="7"/>
    </row>
    <row r="10" spans="1:15">
      <c r="A10" s="5" t="s">
        <v>1205</v>
      </c>
      <c r="B10" s="5">
        <v>1</v>
      </c>
      <c r="C10" s="6" t="s">
        <v>1196</v>
      </c>
      <c r="D10" s="5" t="s">
        <v>314</v>
      </c>
      <c r="E10" s="6" t="s">
        <v>1206</v>
      </c>
      <c r="F10" s="6" t="s">
        <v>1207</v>
      </c>
      <c r="G10" s="7"/>
      <c r="H10" s="8"/>
      <c r="I10" s="9"/>
      <c r="J10" s="7"/>
      <c r="K10" s="9"/>
      <c r="L10" s="7"/>
      <c r="M10" s="7"/>
      <c r="N10" s="9"/>
      <c r="O10" s="7"/>
    </row>
    <row r="11" ht="26.4" spans="1:15">
      <c r="A11" s="10" t="s">
        <v>1208</v>
      </c>
      <c r="B11" s="10">
        <v>1</v>
      </c>
      <c r="C11" s="11" t="s">
        <v>1196</v>
      </c>
      <c r="D11" s="10" t="s">
        <v>320</v>
      </c>
      <c r="E11" s="11" t="s">
        <v>1209</v>
      </c>
      <c r="F11" s="11" t="s">
        <v>1210</v>
      </c>
      <c r="G11" s="7"/>
      <c r="H11" s="8"/>
      <c r="I11" s="9"/>
      <c r="J11" s="7"/>
      <c r="K11" s="9"/>
      <c r="L11" s="7"/>
      <c r="M11" s="7"/>
      <c r="N11" s="9"/>
      <c r="O11" s="7"/>
    </row>
    <row r="12" spans="1:15">
      <c r="A12" s="12" t="s">
        <v>1211</v>
      </c>
    </row>
    <row r="13" ht="26.4" spans="1:15">
      <c r="A13" s="5" t="s">
        <v>1212</v>
      </c>
      <c r="B13" s="5">
        <v>2</v>
      </c>
      <c r="C13" s="6" t="s">
        <v>1213</v>
      </c>
      <c r="D13" s="5" t="s">
        <v>314</v>
      </c>
      <c r="E13" s="6" t="s">
        <v>1214</v>
      </c>
      <c r="F13" s="6" t="s">
        <v>1215</v>
      </c>
      <c r="G13" s="7"/>
      <c r="H13" s="8"/>
      <c r="I13" s="9"/>
      <c r="J13" s="7"/>
      <c r="K13" s="9"/>
      <c r="L13" s="7"/>
      <c r="M13" s="7"/>
      <c r="N13" s="9"/>
      <c r="O13" s="7"/>
    </row>
    <row r="14" spans="1:15">
      <c r="A14" s="5" t="s">
        <v>1216</v>
      </c>
      <c r="B14" s="5">
        <v>2</v>
      </c>
      <c r="C14" s="6" t="s">
        <v>1217</v>
      </c>
      <c r="D14" s="5" t="s">
        <v>314</v>
      </c>
      <c r="E14" s="6" t="s">
        <v>1218</v>
      </c>
      <c r="F14" s="6" t="s">
        <v>1219</v>
      </c>
      <c r="G14" s="7"/>
      <c r="H14" s="8"/>
      <c r="I14" s="9"/>
      <c r="J14" s="7"/>
      <c r="K14" s="9"/>
      <c r="L14" s="7"/>
      <c r="M14" s="7"/>
      <c r="N14" s="9"/>
      <c r="O14" s="7"/>
    </row>
    <row r="15" spans="1:15">
      <c r="A15" s="5" t="s">
        <v>1220</v>
      </c>
      <c r="B15" s="5">
        <v>2</v>
      </c>
      <c r="C15" s="6" t="s">
        <v>1217</v>
      </c>
      <c r="D15" s="5" t="s">
        <v>314</v>
      </c>
      <c r="E15" s="6" t="s">
        <v>1221</v>
      </c>
      <c r="F15" s="6" t="s">
        <v>1222</v>
      </c>
      <c r="G15" s="7"/>
      <c r="H15" s="8"/>
      <c r="I15" s="9"/>
      <c r="J15" s="7"/>
      <c r="K15" s="9"/>
      <c r="L15" s="7"/>
      <c r="M15" s="7"/>
      <c r="N15" s="9"/>
      <c r="O15" s="7"/>
    </row>
    <row r="16" spans="1:15">
      <c r="A16" s="10" t="s">
        <v>1223</v>
      </c>
      <c r="B16" s="10">
        <v>2</v>
      </c>
      <c r="C16" s="11" t="s">
        <v>1217</v>
      </c>
      <c r="D16" s="10" t="s">
        <v>320</v>
      </c>
      <c r="E16" s="11" t="s">
        <v>1224</v>
      </c>
      <c r="F16" s="11" t="s">
        <v>1225</v>
      </c>
      <c r="G16" s="7"/>
      <c r="H16" s="8"/>
      <c r="I16" s="9"/>
      <c r="J16" s="7"/>
      <c r="K16" s="9"/>
      <c r="L16" s="7"/>
      <c r="M16" s="7"/>
      <c r="N16" s="9"/>
      <c r="O16" s="7"/>
    </row>
    <row r="17" spans="1:15">
      <c r="A17" s="12" t="s">
        <v>1226</v>
      </c>
    </row>
    <row r="18" spans="1:15">
      <c r="A18" s="5" t="s">
        <v>1227</v>
      </c>
      <c r="B18" s="5">
        <v>3</v>
      </c>
      <c r="C18" s="6" t="s">
        <v>1228</v>
      </c>
      <c r="D18" s="5" t="s">
        <v>314</v>
      </c>
      <c r="E18" s="6" t="s">
        <v>1229</v>
      </c>
      <c r="F18" s="6" t="s">
        <v>1230</v>
      </c>
      <c r="G18" s="7"/>
      <c r="H18" s="8"/>
      <c r="I18" s="9"/>
      <c r="J18" s="7"/>
      <c r="K18" s="9"/>
      <c r="L18" s="7"/>
      <c r="M18" s="7"/>
      <c r="N18" s="9"/>
      <c r="O18" s="7"/>
    </row>
    <row r="19" ht="26.4" spans="1:15">
      <c r="A19" s="5" t="s">
        <v>1231</v>
      </c>
      <c r="B19" s="5">
        <v>3</v>
      </c>
      <c r="C19" s="6" t="s">
        <v>1228</v>
      </c>
      <c r="D19" s="5" t="s">
        <v>314</v>
      </c>
      <c r="E19" s="6" t="s">
        <v>1232</v>
      </c>
      <c r="F19" s="6" t="s">
        <v>1233</v>
      </c>
      <c r="G19" s="7"/>
      <c r="H19" s="8"/>
      <c r="I19" s="9"/>
      <c r="J19" s="7"/>
      <c r="K19" s="9"/>
      <c r="L19" s="7"/>
      <c r="M19" s="7"/>
      <c r="N19" s="9"/>
      <c r="O19" s="7"/>
    </row>
    <row r="20" ht="26.4" spans="1:15">
      <c r="A20" s="5" t="s">
        <v>1234</v>
      </c>
      <c r="B20" s="5">
        <v>3</v>
      </c>
      <c r="C20" s="6" t="s">
        <v>1228</v>
      </c>
      <c r="D20" s="5" t="s">
        <v>314</v>
      </c>
      <c r="E20" s="6" t="s">
        <v>1235</v>
      </c>
      <c r="F20" s="6" t="s">
        <v>1236</v>
      </c>
      <c r="G20" s="7"/>
      <c r="H20" s="8"/>
      <c r="I20" s="9"/>
      <c r="J20" s="7"/>
      <c r="K20" s="9"/>
      <c r="L20" s="7"/>
      <c r="M20" s="7"/>
      <c r="N20" s="9"/>
      <c r="O20" s="7"/>
    </row>
    <row r="21" ht="26.4" spans="1:15">
      <c r="A21" s="5" t="s">
        <v>1237</v>
      </c>
      <c r="B21" s="5">
        <v>3</v>
      </c>
      <c r="C21" s="6" t="s">
        <v>1228</v>
      </c>
      <c r="D21" s="5" t="s">
        <v>314</v>
      </c>
      <c r="E21" s="6" t="s">
        <v>1238</v>
      </c>
      <c r="F21" s="6" t="s">
        <v>1239</v>
      </c>
      <c r="G21" s="7"/>
      <c r="H21" s="8"/>
      <c r="I21" s="9"/>
      <c r="J21" s="7"/>
      <c r="K21" s="9"/>
      <c r="L21" s="7"/>
      <c r="M21" s="7"/>
      <c r="N21" s="9"/>
      <c r="O21" s="7"/>
    </row>
    <row r="22" ht="26.4" spans="1:15">
      <c r="A22" s="10" t="s">
        <v>1240</v>
      </c>
      <c r="B22" s="10">
        <v>3</v>
      </c>
      <c r="C22" s="11" t="s">
        <v>1228</v>
      </c>
      <c r="D22" s="10" t="s">
        <v>320</v>
      </c>
      <c r="E22" s="11" t="s">
        <v>1241</v>
      </c>
      <c r="F22" s="11" t="s">
        <v>58</v>
      </c>
      <c r="G22" s="7"/>
      <c r="H22" s="8"/>
      <c r="I22" s="9"/>
      <c r="J22" s="7"/>
      <c r="K22" s="9"/>
      <c r="L22" s="7"/>
      <c r="M22" s="7"/>
      <c r="N22" s="9"/>
      <c r="O22" s="7"/>
    </row>
    <row r="23" spans="1:15">
      <c r="A23" s="12" t="s">
        <v>1242</v>
      </c>
    </row>
    <row r="24" spans="1:15">
      <c r="A24" s="5" t="s">
        <v>1243</v>
      </c>
      <c r="B24" s="5">
        <v>4</v>
      </c>
      <c r="C24" s="6" t="s">
        <v>1244</v>
      </c>
      <c r="D24" s="5" t="s">
        <v>314</v>
      </c>
      <c r="E24" s="6" t="s">
        <v>1245</v>
      </c>
      <c r="F24" s="6" t="s">
        <v>1246</v>
      </c>
      <c r="G24" s="7"/>
      <c r="H24" s="8"/>
      <c r="I24" s="9"/>
      <c r="J24" s="7"/>
      <c r="K24" s="9"/>
      <c r="L24" s="7"/>
      <c r="M24" s="7"/>
      <c r="N24" s="9"/>
      <c r="O24" s="7"/>
    </row>
    <row r="25" spans="1:15">
      <c r="A25" s="5" t="s">
        <v>1247</v>
      </c>
      <c r="B25" s="5">
        <v>4</v>
      </c>
      <c r="C25" s="6" t="s">
        <v>1244</v>
      </c>
      <c r="D25" s="5" t="s">
        <v>314</v>
      </c>
      <c r="E25" s="6" t="s">
        <v>1248</v>
      </c>
      <c r="F25" s="6" t="s">
        <v>1249</v>
      </c>
      <c r="G25" s="7"/>
      <c r="H25" s="8"/>
      <c r="I25" s="9"/>
      <c r="J25" s="7"/>
      <c r="K25" s="9"/>
      <c r="L25" s="7"/>
      <c r="M25" s="7"/>
      <c r="N25" s="9"/>
      <c r="O25" s="7"/>
    </row>
    <row r="26" spans="1:15">
      <c r="A26" s="5" t="s">
        <v>1250</v>
      </c>
      <c r="B26" s="5">
        <v>4</v>
      </c>
      <c r="C26" s="6" t="s">
        <v>609</v>
      </c>
      <c r="D26" s="5" t="s">
        <v>314</v>
      </c>
      <c r="E26" s="6" t="s">
        <v>1251</v>
      </c>
      <c r="F26" s="6" t="s">
        <v>1252</v>
      </c>
      <c r="G26" s="7"/>
      <c r="H26" s="8"/>
      <c r="I26" s="9"/>
      <c r="J26" s="7"/>
      <c r="K26" s="9"/>
      <c r="L26" s="7"/>
      <c r="M26" s="7"/>
      <c r="N26" s="9"/>
      <c r="O26" s="7"/>
    </row>
    <row r="27" ht="26.4" spans="1:15">
      <c r="A27" s="10" t="s">
        <v>1253</v>
      </c>
      <c r="B27" s="10">
        <v>4</v>
      </c>
      <c r="C27" s="11" t="s">
        <v>609</v>
      </c>
      <c r="D27" s="10" t="s">
        <v>320</v>
      </c>
      <c r="E27" s="11" t="s">
        <v>1254</v>
      </c>
      <c r="F27" s="11" t="s">
        <v>58</v>
      </c>
      <c r="G27" s="7"/>
      <c r="H27" s="8"/>
      <c r="I27" s="9"/>
      <c r="J27" s="7"/>
      <c r="K27" s="9"/>
      <c r="L27" s="7"/>
      <c r="M27" s="7"/>
      <c r="N27" s="9"/>
      <c r="O27" s="7"/>
    </row>
    <row r="28" spans="1:15">
      <c r="A28" s="10" t="s">
        <v>1255</v>
      </c>
      <c r="B28" s="10">
        <v>4</v>
      </c>
      <c r="C28" s="11" t="s">
        <v>609</v>
      </c>
      <c r="D28" s="10" t="s">
        <v>320</v>
      </c>
      <c r="E28" s="11" t="s">
        <v>1256</v>
      </c>
      <c r="F28" s="11" t="s">
        <v>1257</v>
      </c>
      <c r="G28" s="7"/>
      <c r="H28" s="8"/>
      <c r="I28" s="9"/>
      <c r="J28" s="7"/>
      <c r="K28" s="9"/>
      <c r="L28" s="7"/>
      <c r="M28" s="7"/>
      <c r="N28" s="9"/>
      <c r="O28" s="7"/>
    </row>
    <row r="29" spans="1:15">
      <c r="A29" s="12" t="s">
        <v>1258</v>
      </c>
    </row>
    <row r="30" ht="26.4" spans="1:15">
      <c r="A30" s="5" t="s">
        <v>1259</v>
      </c>
      <c r="B30" s="5">
        <v>5</v>
      </c>
      <c r="C30" s="6" t="s">
        <v>1260</v>
      </c>
      <c r="D30" s="5" t="s">
        <v>314</v>
      </c>
      <c r="E30" s="6" t="s">
        <v>1261</v>
      </c>
      <c r="F30" s="6" t="s">
        <v>1262</v>
      </c>
      <c r="G30" s="7"/>
      <c r="H30" s="8"/>
      <c r="I30" s="9"/>
      <c r="J30" s="7"/>
      <c r="K30" s="9"/>
      <c r="L30" s="7"/>
      <c r="M30" s="7"/>
      <c r="N30" s="9"/>
      <c r="O30" s="7"/>
    </row>
    <row r="31" ht="26.4" spans="1:15">
      <c r="A31" s="5" t="s">
        <v>1263</v>
      </c>
      <c r="B31" s="5">
        <v>5</v>
      </c>
      <c r="C31" s="6" t="s">
        <v>1264</v>
      </c>
      <c r="D31" s="5" t="s">
        <v>314</v>
      </c>
      <c r="E31" s="6" t="s">
        <v>1265</v>
      </c>
      <c r="F31" s="6" t="s">
        <v>1266</v>
      </c>
      <c r="G31" s="7"/>
      <c r="H31" s="8"/>
      <c r="I31" s="9"/>
      <c r="J31" s="7"/>
      <c r="K31" s="9"/>
      <c r="L31" s="7"/>
      <c r="M31" s="7"/>
      <c r="N31" s="9"/>
      <c r="O31" s="7"/>
    </row>
    <row r="32" spans="1:15">
      <c r="A32" s="5" t="s">
        <v>1267</v>
      </c>
      <c r="B32" s="5">
        <v>5</v>
      </c>
      <c r="C32" s="6" t="s">
        <v>1268</v>
      </c>
      <c r="D32" s="5" t="s">
        <v>314</v>
      </c>
      <c r="E32" s="6" t="s">
        <v>1269</v>
      </c>
      <c r="F32" s="6" t="s">
        <v>1270</v>
      </c>
      <c r="G32" s="7"/>
      <c r="H32" s="8"/>
      <c r="I32" s="9"/>
      <c r="J32" s="7"/>
      <c r="K32" s="9"/>
      <c r="L32" s="7"/>
      <c r="M32" s="7"/>
      <c r="N32" s="9"/>
      <c r="O32" s="7"/>
    </row>
    <row r="33" spans="1:15">
      <c r="A33" s="12" t="s">
        <v>1271</v>
      </c>
    </row>
    <row r="34" spans="1:15">
      <c r="A34" s="5" t="s">
        <v>1272</v>
      </c>
      <c r="B34" s="5">
        <v>6</v>
      </c>
      <c r="C34" s="6" t="s">
        <v>1273</v>
      </c>
      <c r="D34" s="5" t="s">
        <v>314</v>
      </c>
      <c r="E34" s="6" t="s">
        <v>1274</v>
      </c>
      <c r="F34" s="6" t="s">
        <v>1275</v>
      </c>
      <c r="G34" s="7"/>
      <c r="H34" s="8"/>
      <c r="I34" s="9"/>
      <c r="J34" s="7"/>
      <c r="K34" s="9"/>
      <c r="L34" s="7"/>
      <c r="M34" s="7"/>
      <c r="N34" s="9"/>
      <c r="O34" s="7"/>
    </row>
    <row r="35" spans="1:15">
      <c r="A35" s="5" t="s">
        <v>1276</v>
      </c>
      <c r="B35" s="5">
        <v>6</v>
      </c>
      <c r="C35" s="6" t="s">
        <v>1273</v>
      </c>
      <c r="D35" s="5" t="s">
        <v>314</v>
      </c>
      <c r="E35" s="6" t="s">
        <v>1277</v>
      </c>
      <c r="F35" s="6" t="s">
        <v>1278</v>
      </c>
      <c r="G35" s="7"/>
      <c r="H35" s="8"/>
      <c r="I35" s="9"/>
      <c r="J35" s="7"/>
      <c r="K35" s="9"/>
      <c r="L35" s="7"/>
      <c r="M35" s="7"/>
      <c r="N35" s="9"/>
      <c r="O35" s="7"/>
    </row>
    <row r="36" spans="1:15">
      <c r="A36" s="10" t="s">
        <v>1279</v>
      </c>
      <c r="B36" s="10">
        <v>6</v>
      </c>
      <c r="C36" s="11" t="s">
        <v>1273</v>
      </c>
      <c r="D36" s="10" t="s">
        <v>320</v>
      </c>
      <c r="E36" s="11" t="s">
        <v>1280</v>
      </c>
      <c r="F36" s="11" t="s">
        <v>58</v>
      </c>
      <c r="G36" s="7"/>
      <c r="H36" s="8"/>
      <c r="I36" s="9"/>
      <c r="J36" s="7"/>
      <c r="K36" s="9"/>
      <c r="L36" s="7"/>
      <c r="M36" s="7"/>
      <c r="N36" s="9"/>
      <c r="O36" s="7"/>
    </row>
    <row r="37" spans="1:15">
      <c r="A37" s="5" t="s">
        <v>1281</v>
      </c>
      <c r="B37" s="5">
        <v>6</v>
      </c>
      <c r="C37" s="6" t="s">
        <v>1273</v>
      </c>
      <c r="D37" s="5" t="s">
        <v>314</v>
      </c>
      <c r="E37" s="6" t="s">
        <v>1282</v>
      </c>
      <c r="F37" s="6" t="s">
        <v>1283</v>
      </c>
      <c r="G37" s="7"/>
      <c r="H37" s="8"/>
      <c r="I37" s="9"/>
      <c r="J37" s="7"/>
      <c r="K37" s="9"/>
      <c r="L37" s="7"/>
      <c r="M37" s="7"/>
      <c r="N37" s="9"/>
      <c r="O37" s="7"/>
    </row>
    <row r="38" spans="1:15">
      <c r="A38" s="10" t="s">
        <v>1284</v>
      </c>
      <c r="B38" s="10">
        <v>6</v>
      </c>
      <c r="C38" s="11" t="s">
        <v>1273</v>
      </c>
      <c r="D38" s="10" t="s">
        <v>320</v>
      </c>
      <c r="E38" s="11" t="s">
        <v>1285</v>
      </c>
      <c r="F38" s="11" t="s">
        <v>1011</v>
      </c>
      <c r="G38" s="7"/>
      <c r="H38" s="8"/>
      <c r="I38" s="9"/>
      <c r="J38" s="7"/>
      <c r="K38" s="9"/>
      <c r="L38" s="7"/>
      <c r="M38" s="7"/>
      <c r="N38" s="9"/>
      <c r="O38" s="7"/>
    </row>
    <row r="39" ht="26.4" spans="1:15">
      <c r="A39" s="5" t="s">
        <v>1286</v>
      </c>
      <c r="B39" s="5">
        <v>6</v>
      </c>
      <c r="C39" s="6" t="s">
        <v>1273</v>
      </c>
      <c r="D39" s="5" t="s">
        <v>314</v>
      </c>
      <c r="E39" s="6" t="s">
        <v>1287</v>
      </c>
      <c r="F39" s="6" t="s">
        <v>1288</v>
      </c>
      <c r="G39" s="7"/>
      <c r="H39" s="8"/>
      <c r="I39" s="9"/>
      <c r="J39" s="7"/>
      <c r="K39" s="9"/>
      <c r="L39" s="7"/>
      <c r="M39" s="7"/>
      <c r="N39" s="9"/>
      <c r="O39" s="7"/>
    </row>
    <row r="40" spans="1:15">
      <c r="A40" s="10" t="s">
        <v>1289</v>
      </c>
      <c r="B40" s="10">
        <v>6</v>
      </c>
      <c r="C40" s="11" t="s">
        <v>1273</v>
      </c>
      <c r="D40" s="10" t="s">
        <v>320</v>
      </c>
      <c r="E40" s="11" t="s">
        <v>1290</v>
      </c>
      <c r="F40" s="11" t="s">
        <v>58</v>
      </c>
      <c r="G40" s="7"/>
      <c r="H40" s="8"/>
      <c r="I40" s="9"/>
      <c r="J40" s="7"/>
      <c r="K40" s="9"/>
      <c r="L40" s="7"/>
      <c r="M40" s="7"/>
      <c r="N40" s="9"/>
      <c r="O40" s="7"/>
    </row>
    <row r="41" spans="1:15">
      <c r="A41" s="10" t="s">
        <v>1291</v>
      </c>
      <c r="B41" s="10">
        <v>6</v>
      </c>
      <c r="C41" s="11" t="s">
        <v>1273</v>
      </c>
      <c r="D41" s="10" t="s">
        <v>320</v>
      </c>
      <c r="E41" s="11" t="s">
        <v>1292</v>
      </c>
      <c r="F41" s="11" t="s">
        <v>1293</v>
      </c>
      <c r="G41" s="7"/>
      <c r="H41" s="8"/>
      <c r="I41" s="9"/>
      <c r="J41" s="7"/>
      <c r="K41" s="9"/>
      <c r="L41" s="7"/>
      <c r="M41" s="7"/>
      <c r="N41" s="9"/>
      <c r="O41" s="7"/>
    </row>
  </sheetData>
  <autoFilter xmlns:etc="http://www.wps.cn/officeDocument/2017/etCustomData" ref="A5:O41" etc:filterBottomFollowUsedRange="0">
    <extLst/>
  </autoFilter>
  <mergeCells count="9">
    <mergeCell ref="A1:O1"/>
    <mergeCell ref="A2:O2"/>
    <mergeCell ref="A3:O3"/>
    <mergeCell ref="A6:O6"/>
    <mergeCell ref="A12:O12"/>
    <mergeCell ref="A17:O17"/>
    <mergeCell ref="A23:O23"/>
    <mergeCell ref="A29:O29"/>
    <mergeCell ref="A33:O33"/>
  </mergeCells>
  <conditionalFormatting sqref="I6:I600">
    <cfRule type="expression" dxfId="4" priority="1">
      <formula>$I6="Đạt"</formula>
    </cfRule>
    <cfRule type="expression" dxfId="5" priority="2">
      <formula>$I6="Không đạt"</formula>
    </cfRule>
    <cfRule type="expression" dxfId="6" priority="3">
      <formula>$I6="Bị chặn"</formula>
    </cfRule>
  </conditionalFormatting>
  <conditionalFormatting sqref="J6:J600">
    <cfRule type="expression" dxfId="7" priority="4">
      <formula>AND(OR($I6="Không đạt",$I6="Bị chặn"),LEN(TRIM($J6))=0)</formula>
    </cfRule>
  </conditionalFormatting>
  <conditionalFormatting sqref="K6:K600">
    <cfRule type="expression" dxfId="7" priority="5">
      <formula>AND($I6="Không đạt",LEN(TRIM($K6))=0)</formula>
    </cfRule>
    <cfRule type="expression" dxfId="0" priority="6">
      <formula>$K6="Nghiêm trọng"</formula>
    </cfRule>
  </conditionalFormatting>
  <dataValidations count="4">
    <dataValidation type="date" operator="greaterThan" allowBlank="1" error="Nhập ngày dạng dd/mm/yyyy" sqref="H6:H600">
      <formula1>DATE(2020,1,1)</formula1>
    </dataValidation>
    <dataValidation type="list" allowBlank="1" error="Chọn giá trị trong danh sách" sqref="I6:I600">
      <formula1>"Đạt,Không đạt,Bị chặn,Chưa test"</formula1>
    </dataValidation>
    <dataValidation type="list" allowBlank="1" error="Chọn giá trị trong danh sách" sqref="K6:K600">
      <formula1>"Nghiêm trọng,Cao,Trung bình,Thấp"</formula1>
    </dataValidation>
    <dataValidation type="list" allowBlank="1" error="Chọn giá trị trong danh sách" sqref="N6:N600">
      <formula1>"Mới,Đang sửa,Đã sửa – chờ test lại,Test lại đạt,Không sửa"</formula1>
    </dataValidation>
  </dataValidations>
  <hyperlinks>
    <hyperlink ref="A3" r:id="rId1" display="BOD và Admin không có luồng riêng mà đứng ở các điểm duyệt trong luồng của phòng khác. Admin còn cấu hình hệ thống: ai được xem gì, ai duyệt gì, thông tin công ty, sao lưu dữ liệu. BOD dùng dashboard để nắm tình hình kinh doanh.  →  Workflow từng bước (ai làm, vào menu nào, kết quả) xem ở sheet &quot;Workflow&quot;. Cột &quot;Bước&quot; dưới đây khớp số bước trong Workflow."/>
  </hyperlinks>
  <pageMargins left="0.75" right="0.75" top="1" bottom="1" header="0.5" footer="0.5"/>
  <pageSetup paperSize="1"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13"/>
  <sheetViews>
    <sheetView zoomScale="90" zoomScaleNormal="90" workbookViewId="0">
      <pane xSplit="2" ySplit="5" topLeftCell="C6" activePane="bottomRight" state="frozen"/>
      <selection/>
      <selection pane="topRight"/>
      <selection pane="bottomLeft"/>
      <selection pane="bottomRight" activeCell="A1" sqref="A1:O1"/>
    </sheetView>
  </sheetViews>
  <sheetFormatPr defaultColWidth="9" defaultRowHeight="14.4"/>
  <cols>
    <col min="1" max="1" width="10" customWidth="1"/>
    <col min="2" max="2" width="7" customWidth="1"/>
    <col min="3" max="3" width="16" customWidth="1"/>
    <col min="4" max="4" width="12" customWidth="1"/>
    <col min="5" max="5" width="46" customWidth="1"/>
    <col min="6" max="6" width="42" customWidth="1"/>
    <col min="7" max="7" width="14" customWidth="1"/>
    <col min="8" max="9" width="12" customWidth="1"/>
    <col min="10" max="10" width="46" customWidth="1"/>
    <col min="11" max="11" width="13" customWidth="1"/>
    <col min="12" max="12" width="26" customWidth="1"/>
    <col min="13" max="13" width="30" customWidth="1"/>
    <col min="14" max="14" width="16" customWidth="1"/>
    <col min="15" max="15" width="22" customWidth="1"/>
  </cols>
  <sheetData>
    <row r="1" ht="24" customHeight="1" spans="1:15">
      <c r="A1" s="1" t="s">
        <v>1294</v>
      </c>
    </row>
    <row r="2" spans="1:15">
      <c r="A2" s="2" t="s">
        <v>1295</v>
      </c>
    </row>
    <row r="3" ht="48" customHeight="1" spans="1:15">
      <c r="A3" s="3" t="s">
        <v>1296</v>
      </c>
    </row>
    <row r="5" ht="42" customHeight="1" spans="1:15">
      <c r="A5" s="4" t="s">
        <v>27</v>
      </c>
      <c r="B5" s="4" t="s">
        <v>92</v>
      </c>
      <c r="C5" s="4" t="s">
        <v>303</v>
      </c>
      <c r="D5" s="4" t="s">
        <v>304</v>
      </c>
      <c r="E5" s="4" t="s">
        <v>29</v>
      </c>
      <c r="F5" s="4" t="s">
        <v>31</v>
      </c>
      <c r="G5" s="4" t="s">
        <v>305</v>
      </c>
      <c r="H5" s="4" t="s">
        <v>306</v>
      </c>
      <c r="I5" s="4" t="s">
        <v>14</v>
      </c>
      <c r="J5" s="4" t="s">
        <v>307</v>
      </c>
      <c r="K5" s="4" t="s">
        <v>18</v>
      </c>
      <c r="L5" s="4" t="s">
        <v>308</v>
      </c>
      <c r="M5" s="4" t="s">
        <v>309</v>
      </c>
      <c r="N5" s="4" t="s">
        <v>310</v>
      </c>
      <c r="O5" s="4" t="s">
        <v>24</v>
      </c>
    </row>
    <row r="6" ht="39.6" spans="1:15">
      <c r="A6" s="5" t="s">
        <v>1297</v>
      </c>
      <c r="B6" s="5" t="s">
        <v>1298</v>
      </c>
      <c r="C6" s="6" t="s">
        <v>1299</v>
      </c>
      <c r="D6" s="5" t="s">
        <v>314</v>
      </c>
      <c r="E6" s="6" t="s">
        <v>1300</v>
      </c>
      <c r="F6" s="6" t="s">
        <v>1301</v>
      </c>
      <c r="G6" s="7"/>
      <c r="H6" s="8"/>
      <c r="I6" s="9"/>
      <c r="J6" s="7"/>
      <c r="K6" s="9"/>
      <c r="L6" s="7"/>
      <c r="M6" s="7"/>
      <c r="N6" s="9"/>
      <c r="O6" s="7"/>
    </row>
    <row r="7" ht="39.6" spans="1:15">
      <c r="A7" s="5" t="s">
        <v>1302</v>
      </c>
      <c r="B7" s="5" t="s">
        <v>1303</v>
      </c>
      <c r="C7" s="6" t="s">
        <v>1304</v>
      </c>
      <c r="D7" s="5" t="s">
        <v>314</v>
      </c>
      <c r="E7" s="6" t="s">
        <v>1305</v>
      </c>
      <c r="F7" s="6" t="s">
        <v>1306</v>
      </c>
      <c r="G7" s="7"/>
      <c r="H7" s="8"/>
      <c r="I7" s="9"/>
      <c r="J7" s="7"/>
      <c r="K7" s="9"/>
      <c r="L7" s="7"/>
      <c r="M7" s="7"/>
      <c r="N7" s="9"/>
      <c r="O7" s="7"/>
    </row>
    <row r="8" ht="39.6" spans="1:15">
      <c r="A8" s="10" t="s">
        <v>1307</v>
      </c>
      <c r="B8" s="10" t="s">
        <v>1308</v>
      </c>
      <c r="C8" s="11" t="s">
        <v>1309</v>
      </c>
      <c r="D8" s="10" t="s">
        <v>320</v>
      </c>
      <c r="E8" s="11" t="s">
        <v>1310</v>
      </c>
      <c r="F8" s="11" t="s">
        <v>1311</v>
      </c>
      <c r="G8" s="7"/>
      <c r="H8" s="8"/>
      <c r="I8" s="9"/>
      <c r="J8" s="7"/>
      <c r="K8" s="9"/>
      <c r="L8" s="7"/>
      <c r="M8" s="7"/>
      <c r="N8" s="9"/>
      <c r="O8" s="7"/>
    </row>
    <row r="9" ht="39.6" spans="1:15">
      <c r="A9" s="10" t="s">
        <v>1312</v>
      </c>
      <c r="B9" s="10" t="s">
        <v>1313</v>
      </c>
      <c r="C9" s="11" t="s">
        <v>1314</v>
      </c>
      <c r="D9" s="10" t="s">
        <v>320</v>
      </c>
      <c r="E9" s="11" t="s">
        <v>1315</v>
      </c>
      <c r="F9" s="11" t="s">
        <v>1316</v>
      </c>
      <c r="G9" s="7"/>
      <c r="H9" s="8"/>
      <c r="I9" s="9"/>
      <c r="J9" s="7"/>
      <c r="K9" s="9"/>
      <c r="L9" s="7"/>
      <c r="M9" s="7"/>
      <c r="N9" s="9"/>
      <c r="O9" s="7"/>
    </row>
    <row r="10" ht="26.4" spans="1:15">
      <c r="A10" s="10" t="s">
        <v>1317</v>
      </c>
      <c r="B10" s="10" t="s">
        <v>1318</v>
      </c>
      <c r="C10" s="11" t="s">
        <v>1319</v>
      </c>
      <c r="D10" s="10" t="s">
        <v>320</v>
      </c>
      <c r="E10" s="11" t="s">
        <v>1320</v>
      </c>
      <c r="F10" s="11" t="s">
        <v>1321</v>
      </c>
      <c r="G10" s="7"/>
      <c r="H10" s="8"/>
      <c r="I10" s="9"/>
      <c r="J10" s="7"/>
      <c r="K10" s="9"/>
      <c r="L10" s="7"/>
      <c r="M10" s="7"/>
      <c r="N10" s="9"/>
      <c r="O10" s="7"/>
    </row>
    <row r="11" ht="26.4" spans="1:15">
      <c r="A11" s="10" t="s">
        <v>1322</v>
      </c>
      <c r="B11" s="10" t="s">
        <v>1298</v>
      </c>
      <c r="C11" s="11" t="s">
        <v>1323</v>
      </c>
      <c r="D11" s="10" t="s">
        <v>320</v>
      </c>
      <c r="E11" s="11" t="s">
        <v>1324</v>
      </c>
      <c r="F11" s="11" t="s">
        <v>1325</v>
      </c>
      <c r="G11" s="7"/>
      <c r="H11" s="8"/>
      <c r="I11" s="9"/>
      <c r="J11" s="7"/>
      <c r="K11" s="9"/>
      <c r="L11" s="7"/>
      <c r="M11" s="7"/>
      <c r="N11" s="9"/>
      <c r="O11" s="7"/>
    </row>
    <row r="12" ht="26.4" spans="1:15">
      <c r="A12" s="5" t="s">
        <v>1326</v>
      </c>
      <c r="B12" s="5" t="s">
        <v>1327</v>
      </c>
      <c r="C12" s="6" t="s">
        <v>1328</v>
      </c>
      <c r="D12" s="5" t="s">
        <v>314</v>
      </c>
      <c r="E12" s="6" t="s">
        <v>1329</v>
      </c>
      <c r="F12" s="6" t="s">
        <v>1330</v>
      </c>
      <c r="G12" s="7"/>
      <c r="H12" s="8"/>
      <c r="I12" s="9"/>
      <c r="J12" s="7"/>
      <c r="K12" s="9"/>
      <c r="L12" s="7"/>
      <c r="M12" s="7"/>
      <c r="N12" s="9"/>
      <c r="O12" s="7"/>
    </row>
    <row r="13" ht="39.6" spans="1:15">
      <c r="A13" s="5" t="s">
        <v>1331</v>
      </c>
      <c r="B13" s="5" t="s">
        <v>1298</v>
      </c>
      <c r="C13" s="6" t="s">
        <v>1332</v>
      </c>
      <c r="D13" s="5" t="s">
        <v>314</v>
      </c>
      <c r="E13" s="6" t="s">
        <v>1333</v>
      </c>
      <c r="F13" s="6" t="s">
        <v>1334</v>
      </c>
      <c r="G13" s="7"/>
      <c r="H13" s="8"/>
      <c r="I13" s="9"/>
      <c r="J13" s="7"/>
      <c r="K13" s="9"/>
      <c r="L13" s="7"/>
      <c r="M13" s="7"/>
      <c r="N13" s="9"/>
      <c r="O13" s="7"/>
    </row>
  </sheetData>
  <autoFilter xmlns:etc="http://www.wps.cn/officeDocument/2017/etCustomData" ref="A5:O13" etc:filterBottomFollowUsedRange="0">
    <extLst/>
  </autoFilter>
  <mergeCells count="3">
    <mergeCell ref="A1:O1"/>
    <mergeCell ref="A2:O2"/>
    <mergeCell ref="A3:O3"/>
  </mergeCells>
  <conditionalFormatting sqref="I6:I600">
    <cfRule type="expression" dxfId="4" priority="1">
      <formula>$I6="Đạt"</formula>
    </cfRule>
    <cfRule type="expression" dxfId="5" priority="2">
      <formula>$I6="Không đạt"</formula>
    </cfRule>
    <cfRule type="expression" dxfId="6" priority="3">
      <formula>$I6="Bị chặn"</formula>
    </cfRule>
  </conditionalFormatting>
  <conditionalFormatting sqref="J6:J600">
    <cfRule type="expression" dxfId="7" priority="4">
      <formula>AND(OR($I6="Không đạt",$I6="Bị chặn"),LEN(TRIM($J6))=0)</formula>
    </cfRule>
  </conditionalFormatting>
  <conditionalFormatting sqref="K6:K600">
    <cfRule type="expression" dxfId="7" priority="5">
      <formula>AND($I6="Không đạt",LEN(TRIM($K6))=0)</formula>
    </cfRule>
    <cfRule type="expression" dxfId="0" priority="6">
      <formula>$K6="Nghiêm trọng"</formula>
    </cfRule>
  </conditionalFormatting>
  <dataValidations count="4">
    <dataValidation type="date" operator="greaterThan" allowBlank="1" error="Nhập ngày dạng dd/mm/yyyy" sqref="H6:H600">
      <formula1>DATE(2020,1,1)</formula1>
    </dataValidation>
    <dataValidation type="list" allowBlank="1" error="Chọn giá trị trong danh sách" sqref="I6:I600">
      <formula1>"Đạt,Không đạt,Bị chặn,Chưa test"</formula1>
    </dataValidation>
    <dataValidation type="list" allowBlank="1" error="Chọn giá trị trong danh sách" sqref="K6:K600">
      <formula1>"Nghiêm trọng,Cao,Trung bình,Thấp"</formula1>
    </dataValidation>
    <dataValidation type="list" allowBlank="1" error="Chọn giá trị trong danh sách" sqref="N6:N600">
      <formula1>"Mới,Đang sửa,Đã sửa – chờ test lại,Test lại đạt,Không sửa"</formula1>
    </dataValidation>
  </dataValidations>
  <hyperlinks>
    <hyperlink ref="A3" r:id="rId1" display="Các sheet 1–7 kiểm từng phòng. Sheet này chạy một đơn hàng từ đầu đến cuối để kiểm chỗ bàn giao giữa các phòng: mỗi lần chuyển tay, người nhận phải thấy việc trong danh sách của mình và nhận thông báo. Hai cổng chặn do Kế toán giữ: UNC đợt trước đặt hàng (trước PO) và hóa đơn + UNC trước xuất (trước xuất kho).  →  Workflow từng bước (ai làm, vào menu nào, kết quả) xem ở sheet &quot;Workflow&quot;. Cột &quot;Bước&quot; dưới đây khớp số bước trong Workflow."/>
  </hyperlinks>
  <pageMargins left="0.75" right="0.75" top="1" bottom="1" header="0.5" footer="0.5"/>
  <pageSetup paperSize="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Hướng dẫn</vt:lpstr>
      <vt:lpstr>Tổng hợp</vt:lpstr>
      <vt:lpstr>Workflow</vt:lpstr>
      <vt:lpstr>1. Sales</vt:lpstr>
      <vt:lpstr>2. Mua hàng</vt:lpstr>
      <vt:lpstr>3. Kho</vt:lpstr>
      <vt:lpstr>4. Kế toán</vt:lpstr>
      <vt:lpstr>5. Kỹ thuật</vt:lpstr>
      <vt:lpstr>6. Marketing</vt:lpstr>
      <vt:lpstr>7. BOD - Quản trị</vt:lpstr>
      <vt:lpstr>8. Liên phòng ban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Thái Minh Hiếu</cp:lastModifiedBy>
  <dcterms:created xsi:type="dcterms:W3CDTF">2026-10-26T02:44:00Z</dcterms:created>
  <dcterms:modified xsi:type="dcterms:W3CDTF">2026-10-26T04:21:06Z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8FD5C621D0D04666ACFA6B3BBDF06547_12</vt:lpwstr>
  </property>
  <property fmtid="{D5CDD505-2E9C-101B-9397-08002B2CF9AE}" pid="3" name="KSOProductBuildVer">
    <vt:lpwstr>1033-12.1.0.29162</vt:lpwstr>
  </property>
  <property fmtid="{D5CDD505-2E9C-101B-9397-08002B2CF9AE}" pid="4" name="CalculationRule">
    <vt:i4>0</vt:i4>
  </property>
</Properties>
</file>