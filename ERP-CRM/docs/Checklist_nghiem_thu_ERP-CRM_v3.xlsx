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sheetId="2" state="visible" r:id="rId2"/>
    <sheet xmlns:r="http://schemas.openxmlformats.org/officeDocument/2006/relationships" name="Ma trận vai trò" sheetId="3" state="visible" r:id="rId3"/>
    <sheet xmlns:r="http://schemas.openxmlformats.org/officeDocument/2006/relationships" name="Workflow" sheetId="4" state="visible" r:id="rId4"/>
    <sheet xmlns:r="http://schemas.openxmlformats.org/officeDocument/2006/relationships" name="1. Sales" sheetId="5" state="visible" r:id="rId5"/>
    <sheet xmlns:r="http://schemas.openxmlformats.org/officeDocument/2006/relationships" name="2. Sales Manager" sheetId="6" state="visible" r:id="rId6"/>
    <sheet xmlns:r="http://schemas.openxmlformats.org/officeDocument/2006/relationships" name="3. Legal" sheetId="7" state="visible" r:id="rId7"/>
    <sheet xmlns:r="http://schemas.openxmlformats.org/officeDocument/2006/relationships" name="4. BOD" sheetId="8" state="visible" r:id="rId8"/>
    <sheet xmlns:r="http://schemas.openxmlformats.org/officeDocument/2006/relationships" name="5. Admin duyệt đơn" sheetId="9" state="visible" r:id="rId9"/>
    <sheet xmlns:r="http://schemas.openxmlformats.org/officeDocument/2006/relationships" name="6. Order Management" sheetId="10" state="visible" r:id="rId10"/>
    <sheet xmlns:r="http://schemas.openxmlformats.org/officeDocument/2006/relationships" name="7. Mua hàng" sheetId="11" state="visible" r:id="rId11"/>
    <sheet xmlns:r="http://schemas.openxmlformats.org/officeDocument/2006/relationships" name="8. Kho" sheetId="12" state="visible" r:id="rId12"/>
    <sheet xmlns:r="http://schemas.openxmlformats.org/officeDocument/2006/relationships" name="9. Kế toán" sheetId="13" state="visible" r:id="rId13"/>
    <sheet xmlns:r="http://schemas.openxmlformats.org/officeDocument/2006/relationships" name="10. Kỹ sư KT" sheetId="14" state="visible" r:id="rId14"/>
    <sheet xmlns:r="http://schemas.openxmlformats.org/officeDocument/2006/relationships" name="11. Tech Lead" sheetId="15" state="visible" r:id="rId15"/>
    <sheet xmlns:r="http://schemas.openxmlformats.org/officeDocument/2006/relationships" name="12. Marketing" sheetId="16" state="visible" r:id="rId16"/>
    <sheet xmlns:r="http://schemas.openxmlformats.org/officeDocument/2006/relationships" name="13. Quản trị hệ thống" sheetId="17" state="visible" r:id="rId17"/>
    <sheet xmlns:r="http://schemas.openxmlformats.org/officeDocument/2006/relationships" name="14. Liên phòng ban" sheetId="18" state="visible" r:id="rId18"/>
  </sheets>
  <definedNames>
    <definedName name="_xlnm._FilterDatabase" localSheetId="4" hidden="1">'1. Sales'!$A$5:$O$115</definedName>
    <definedName name="_xlnm.Print_Titles" localSheetId="4">'1. Sales'!$5:$5</definedName>
    <definedName name="_xlnm._FilterDatabase" localSheetId="5" hidden="1">'2. Sales Manager'!$A$5:$O$41</definedName>
    <definedName name="_xlnm.Print_Titles" localSheetId="5">'2. Sales Manager'!$5:$5</definedName>
    <definedName name="_xlnm._FilterDatabase" localSheetId="6" hidden="1">'3. Legal'!$A$5:$O$24</definedName>
    <definedName name="_xlnm.Print_Titles" localSheetId="6">'3. Legal'!$5:$5</definedName>
    <definedName name="_xlnm._FilterDatabase" localSheetId="7" hidden="1">'4. BOD'!$A$5:$O$29</definedName>
    <definedName name="_xlnm.Print_Titles" localSheetId="7">'4. BOD'!$5:$5</definedName>
    <definedName name="_xlnm._FilterDatabase" localSheetId="8" hidden="1">'5. Admin duyệt đơn'!$A$5:$O$31</definedName>
    <definedName name="_xlnm.Print_Titles" localSheetId="8">'5. Admin duyệt đơn'!$5:$5</definedName>
    <definedName name="_xlnm._FilterDatabase" localSheetId="9" hidden="1">'6. Order Management'!$A$5:$O$36</definedName>
    <definedName name="_xlnm.Print_Titles" localSheetId="9">'6. Order Management'!$5:$5</definedName>
    <definedName name="_xlnm._FilterDatabase" localSheetId="10" hidden="1">'7. Mua hàng'!$A$5:$O$55</definedName>
    <definedName name="_xlnm.Print_Titles" localSheetId="10">'7. Mua hàng'!$5:$5</definedName>
    <definedName name="_xlnm._FilterDatabase" localSheetId="11" hidden="1">'8. Kho'!$A$5:$O$70</definedName>
    <definedName name="_xlnm.Print_Titles" localSheetId="11">'8. Kho'!$5:$5</definedName>
    <definedName name="_xlnm._FilterDatabase" localSheetId="12" hidden="1">'9. Kế toán'!$A$5:$O$38</definedName>
    <definedName name="_xlnm.Print_Titles" localSheetId="12">'9. Kế toán'!$5:$5</definedName>
    <definedName name="_xlnm._FilterDatabase" localSheetId="13" hidden="1">'10. Kỹ sư KT'!$A$5:$O$34</definedName>
    <definedName name="_xlnm.Print_Titles" localSheetId="13">'10. Kỹ sư KT'!$5:$5</definedName>
    <definedName name="_xlnm._FilterDatabase" localSheetId="14" hidden="1">'11. Tech Lead'!$A$5:$O$24</definedName>
    <definedName name="_xlnm.Print_Titles" localSheetId="14">'11. Tech Lead'!$5:$5</definedName>
    <definedName name="_xlnm._FilterDatabase" localSheetId="15" hidden="1">'12. Marketing'!$A$5:$O$32</definedName>
    <definedName name="_xlnm.Print_Titles" localSheetId="15">'12. Marketing'!$5:$5</definedName>
    <definedName name="_xlnm._FilterDatabase" localSheetId="16" hidden="1">'13. Quản trị hệ thống'!$A$5:$O$32</definedName>
    <definedName name="_xlnm.Print_Titles" localSheetId="16">'13. Quản trị hệ thống'!$5:$5</definedName>
    <definedName name="_xlnm._FilterDatabase" localSheetId="17" hidden="1">'14. Liên phòng ban'!$A$5:$O$13</definedName>
    <definedName name="_xlnm.Print_Titles" localSheetId="17">'14. Liên phòng ban'!$5:$5</definedName>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Arial"/>
      <b val="1"/>
      <color rgb="001F3864"/>
      <sz val="16"/>
    </font>
    <font>
      <name val="Arial"/>
      <i val="1"/>
      <sz val="10"/>
    </font>
    <font>
      <name val="Arial"/>
      <b val="1"/>
      <color rgb="001F3864"/>
      <sz val="12"/>
    </font>
    <font>
      <name val="Arial"/>
      <b val="1"/>
      <sz val="10"/>
    </font>
    <font>
      <name val="Arial"/>
      <sz val="10"/>
    </font>
    <font>
      <name val="Arial"/>
      <b val="1"/>
      <color rgb="001F3864"/>
      <sz val="14"/>
    </font>
    <font>
      <name val="Arial"/>
      <b val="1"/>
      <color rgb="00FFFFFF"/>
      <sz val="12"/>
    </font>
    <font>
      <name val="Arial"/>
      <b val="1"/>
      <color rgb="001F3864"/>
      <sz val="10"/>
    </font>
    <font>
      <name val="Arial"/>
      <b val="1"/>
      <color rgb="00FFFFFF"/>
      <sz val="10"/>
    </font>
    <font>
      <name val="Arial"/>
      <color rgb="000563C1"/>
      <sz val="10"/>
      <u val="single"/>
    </font>
  </fonts>
  <fills count="6">
    <fill>
      <patternFill/>
    </fill>
    <fill>
      <patternFill patternType="gray125"/>
    </fill>
    <fill>
      <patternFill patternType="solid">
        <fgColor rgb="00FFF9E5"/>
      </patternFill>
    </fill>
    <fill>
      <patternFill patternType="solid">
        <fgColor rgb="001F3864"/>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6" fillId="0" borderId="0" pivotButton="0" quotePrefix="0" xfId="0"/>
    <xf numFmtId="0" fontId="9" fillId="3" borderId="1" applyAlignment="1" pivotButton="0" quotePrefix="0" xfId="0">
      <alignment horizontal="center" vertical="center" wrapText="1"/>
    </xf>
    <xf numFmtId="0" fontId="5" fillId="0" borderId="1" applyAlignment="1" pivotButton="0" quotePrefix="0" xfId="0">
      <alignment vertical="top" wrapText="1"/>
    </xf>
    <xf numFmtId="0" fontId="10" fillId="0" borderId="1" applyAlignment="1" pivotButton="0" quotePrefix="0" xfId="0">
      <alignment horizontal="center" vertical="center" wrapText="1"/>
    </xf>
    <xf numFmtId="0" fontId="5" fillId="0" borderId="1" applyAlignment="1" pivotButton="0" quotePrefix="0" xfId="0">
      <alignment horizontal="center" vertical="center" wrapText="1"/>
    </xf>
    <xf numFmtId="9" fontId="5" fillId="0" borderId="1" applyAlignment="1" pivotButton="0" quotePrefix="0" xfId="0">
      <alignment horizontal="center" vertical="center" wrapText="1"/>
    </xf>
    <xf numFmtId="0" fontId="5" fillId="2" borderId="1" applyAlignment="1" pivotButton="0" quotePrefix="0" xfId="0">
      <alignment horizontal="center" vertical="center" wrapText="1"/>
    </xf>
    <xf numFmtId="164" fontId="5" fillId="2"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9" fontId="4" fillId="4" borderId="1" applyAlignment="1" pivotButton="0" quotePrefix="0" xfId="0">
      <alignment horizontal="center" vertical="center" wrapText="1"/>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4" fillId="0" borderId="1" applyAlignment="1" pivotButton="0" quotePrefix="0" xfId="0">
      <alignment vertical="top" wrapText="1"/>
    </xf>
    <xf numFmtId="0" fontId="10" fillId="0" borderId="1" applyAlignment="1" pivotButton="0" quotePrefix="0" xfId="0">
      <alignment vertical="top" wrapText="1"/>
    </xf>
    <xf numFmtId="0" fontId="7" fillId="3" borderId="0" pivotButton="0" quotePrefix="0" xfId="0"/>
    <xf numFmtId="0" fontId="8"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4" borderId="0" pivotButton="0" quotePrefix="0" xfId="0"/>
    <xf numFmtId="0" fontId="5" fillId="5" borderId="1" applyAlignment="1" pivotButton="0" quotePrefix="0" xfId="0">
      <alignment horizontal="center" vertical="center" wrapText="1"/>
    </xf>
    <xf numFmtId="0" fontId="5" fillId="5" borderId="1" applyAlignment="1" pivotButton="0" quotePrefix="0" xfId="0">
      <alignment vertical="top" wrapText="1"/>
    </xf>
  </cellXfs>
  <cellStyles count="1">
    <cellStyle name="Normal" xfId="0" builtinId="0" hidden="0"/>
  </cellStyles>
  <dxfs count="8">
    <dxf>
      <fill>
        <patternFill patternType="solid">
          <fgColor rgb="00C6EFCE"/>
        </patternFill>
      </fill>
    </dxf>
    <dxf>
      <fill>
        <patternFill patternType="solid">
          <fgColor rgb="00FFC7CE"/>
        </patternFill>
      </fill>
    </dxf>
    <dxf>
      <fill>
        <patternFill patternType="solid">
          <fgColor rgb="00FFEB9C"/>
        </patternFill>
      </fill>
    </dxf>
    <dxf>
      <font>
        <name val="Arial"/>
        <b val="1"/>
        <color rgb="00C00000"/>
      </font>
    </dxf>
    <dxf>
      <font>
        <name val="Arial"/>
        <b val="1"/>
        <color rgb="00006100"/>
      </font>
      <fill>
        <patternFill patternType="solid">
          <fgColor rgb="00C6EFCE"/>
        </patternFill>
      </fill>
    </dxf>
    <dxf>
      <font>
        <name val="Arial"/>
        <b val="1"/>
        <color rgb="009C0006"/>
      </font>
      <fill>
        <patternFill patternType="solid">
          <fgColor rgb="00FFC7CE"/>
        </patternFill>
      </fill>
    </dxf>
    <dxf>
      <font>
        <name val="Arial"/>
        <b val="1"/>
        <color rgb="00833C0B"/>
      </font>
      <fill>
        <patternFill patternType="solid">
          <fgColor rgb="00FCE4D6"/>
        </patternFill>
      </fill>
    </dxf>
    <dxf>
      <fill>
        <patternFill patternType="solid">
          <fgColor rgb="00FF7C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 Sales'!A1" TargetMode="External" Id="rId1"/><Relationship Type="http://schemas.openxmlformats.org/officeDocument/2006/relationships/hyperlink" Target="#'2. Sales Manager'!A1" TargetMode="External" Id="rId2"/><Relationship Type="http://schemas.openxmlformats.org/officeDocument/2006/relationships/hyperlink" Target="#'3. Legal'!A1" TargetMode="External" Id="rId3"/><Relationship Type="http://schemas.openxmlformats.org/officeDocument/2006/relationships/hyperlink" Target="#'4. BOD'!A1" TargetMode="External" Id="rId4"/><Relationship Type="http://schemas.openxmlformats.org/officeDocument/2006/relationships/hyperlink" Target="#'5. Admin duy&#7879;t &#273;&#417;n'!A1" TargetMode="External" Id="rId5"/><Relationship Type="http://schemas.openxmlformats.org/officeDocument/2006/relationships/hyperlink" Target="#'6. Order Management'!A1" TargetMode="External" Id="rId6"/><Relationship Type="http://schemas.openxmlformats.org/officeDocument/2006/relationships/hyperlink" Target="#'7. Mua h&#224;ng'!A1" TargetMode="External" Id="rId7"/><Relationship Type="http://schemas.openxmlformats.org/officeDocument/2006/relationships/hyperlink" Target="#'8. Kho'!A1" TargetMode="External" Id="rId8"/><Relationship Type="http://schemas.openxmlformats.org/officeDocument/2006/relationships/hyperlink" Target="#'9. K&#7871; to&#225;n'!A1" TargetMode="External" Id="rId9"/><Relationship Type="http://schemas.openxmlformats.org/officeDocument/2006/relationships/hyperlink" Target="#'10. K&#7929; s&#432; KT'!A1" TargetMode="External" Id="rId10"/><Relationship Type="http://schemas.openxmlformats.org/officeDocument/2006/relationships/hyperlink" Target="#'11. Tech Lead'!A1" TargetMode="External" Id="rId11"/><Relationship Type="http://schemas.openxmlformats.org/officeDocument/2006/relationships/hyperlink" Target="#'12. Marketing'!A1" TargetMode="External" Id="rId12"/><Relationship Type="http://schemas.openxmlformats.org/officeDocument/2006/relationships/hyperlink" Target="#'13. Qu&#7843;n tr&#7883; h&#7879; th&#7889;ng'!A1" TargetMode="External" Id="rId13"/><Relationship Type="http://schemas.openxmlformats.org/officeDocument/2006/relationships/hyperlink" Target="#'14. Li&#234;n ph&#242;ng ban'!A1" TargetMode="External" Id="rId14"/></Relationships>
</file>

<file path=xl/worksheets/_rels/sheet3.xml.rels><Relationships xmlns="http://schemas.openxmlformats.org/package/2006/relationships"><Relationship Type="http://schemas.openxmlformats.org/officeDocument/2006/relationships/hyperlink" Target="#'1. Sales'!A1" TargetMode="External" Id="rId1"/><Relationship Type="http://schemas.openxmlformats.org/officeDocument/2006/relationships/hyperlink" Target="#'2. Sales Manager'!A1" TargetMode="External" Id="rId2"/><Relationship Type="http://schemas.openxmlformats.org/officeDocument/2006/relationships/hyperlink" Target="#'3. Legal'!A1" TargetMode="External" Id="rId3"/><Relationship Type="http://schemas.openxmlformats.org/officeDocument/2006/relationships/hyperlink" Target="#'4. BOD'!A1" TargetMode="External" Id="rId4"/><Relationship Type="http://schemas.openxmlformats.org/officeDocument/2006/relationships/hyperlink" Target="#'5. Admin duy&#7879;t &#273;&#417;n'!A1" TargetMode="External" Id="rId5"/><Relationship Type="http://schemas.openxmlformats.org/officeDocument/2006/relationships/hyperlink" Target="#'6. Order Management'!A1" TargetMode="External" Id="rId6"/><Relationship Type="http://schemas.openxmlformats.org/officeDocument/2006/relationships/hyperlink" Target="#'7. Mua h&#224;ng'!A1" TargetMode="External" Id="rId7"/><Relationship Type="http://schemas.openxmlformats.org/officeDocument/2006/relationships/hyperlink" Target="#'7. Mua h&#224;ng'!A1" TargetMode="External" Id="rId8"/><Relationship Type="http://schemas.openxmlformats.org/officeDocument/2006/relationships/hyperlink" Target="#'8. Kho'!A1" TargetMode="External" Id="rId9"/><Relationship Type="http://schemas.openxmlformats.org/officeDocument/2006/relationships/hyperlink" Target="#'8. Kho'!A1" TargetMode="External" Id="rId10"/><Relationship Type="http://schemas.openxmlformats.org/officeDocument/2006/relationships/hyperlink" Target="#'9. K&#7871; to&#225;n'!A1" TargetMode="External" Id="rId11"/><Relationship Type="http://schemas.openxmlformats.org/officeDocument/2006/relationships/hyperlink" Target="#'10. K&#7929; s&#432; KT'!A1" TargetMode="External" Id="rId12"/><Relationship Type="http://schemas.openxmlformats.org/officeDocument/2006/relationships/hyperlink" Target="#'11. Tech Lead'!A1" TargetMode="External" Id="rId13"/><Relationship Type="http://schemas.openxmlformats.org/officeDocument/2006/relationships/hyperlink" Target="#'12. Marketing'!A1" TargetMode="External" Id="rId14"/><Relationship Type="http://schemas.openxmlformats.org/officeDocument/2006/relationships/hyperlink" Target="#'13. Qu&#7843;n tr&#7883; h&#7879; th&#7889;ng'!A1" TargetMode="External" Id="rId15"/></Relationships>
</file>

<file path=xl/worksheets/_rels/sheet5.xml.rels><Relationships xmlns="http://schemas.openxmlformats.org/package/2006/relationships"><Relationship Type="http://schemas.openxmlformats.org/officeDocument/2006/relationships/hyperlink" Target="#'Workflow'!A3" TargetMode="External" Id="rId1"/></Relationships>
</file>

<file path=xl/worksheets/_rels/sheet6.xml.rels><Relationships xmlns="http://schemas.openxmlformats.org/package/2006/relationships"><Relationship Type="http://schemas.openxmlformats.org/officeDocument/2006/relationships/hyperlink" Target="#'Workflow'!A19" TargetMode="External" Id="rId1"/></Relationships>
</file>

<file path=xl/worksheets/_rels/sheet7.xml.rels><Relationships xmlns="http://schemas.openxmlformats.org/package/2006/relationships"><Relationship Type="http://schemas.openxmlformats.org/officeDocument/2006/relationships/hyperlink" Target="#'Workflow'!A30" TargetMode="External" Id="rId1"/></Relationships>
</file>

<file path=xl/worksheets/_rels/sheet8.xml.rels><Relationships xmlns="http://schemas.openxmlformats.org/package/2006/relationships"><Relationship Type="http://schemas.openxmlformats.org/officeDocument/2006/relationships/hyperlink" Target="#'Workflow'!A38" TargetMode="External" Id="rId1"/></Relationships>
</file>

<file path=xl/worksheets/_rels/sheet9.xml.rels><Relationships xmlns="http://schemas.openxmlformats.org/package/2006/relationships"><Relationship Type="http://schemas.openxmlformats.org/officeDocument/2006/relationships/hyperlink" Target="#'Workflow'!A48" TargetMode="External" Id="rId1"/></Relationships>
</file>

<file path=xl/worksheets/_rels/sheet10.xml.rels><Relationships xmlns="http://schemas.openxmlformats.org/package/2006/relationships"><Relationship Type="http://schemas.openxmlformats.org/officeDocument/2006/relationships/hyperlink" Target="#'Workflow'!A58" TargetMode="External" Id="rId1"/></Relationships>
</file>

<file path=xl/worksheets/_rels/sheet11.xml.rels><Relationships xmlns="http://schemas.openxmlformats.org/package/2006/relationships"><Relationship Type="http://schemas.openxmlformats.org/officeDocument/2006/relationships/hyperlink" Target="#'Workflow'!A70" TargetMode="External" Id="rId1"/></Relationships>
</file>

<file path=xl/worksheets/_rels/sheet12.xml.rels><Relationships xmlns="http://schemas.openxmlformats.org/package/2006/relationships"><Relationship Type="http://schemas.openxmlformats.org/officeDocument/2006/relationships/hyperlink" Target="#'Workflow'!A81" TargetMode="External" Id="rId1"/></Relationships>
</file>

<file path=xl/worksheets/_rels/sheet13.xml.rels><Relationships xmlns="http://schemas.openxmlformats.org/package/2006/relationships"><Relationship Type="http://schemas.openxmlformats.org/officeDocument/2006/relationships/hyperlink" Target="#'Workflow'!A92" TargetMode="External" Id="rId1"/></Relationships>
</file>

<file path=xl/worksheets/_rels/sheet14.xml.rels><Relationships xmlns="http://schemas.openxmlformats.org/package/2006/relationships"><Relationship Type="http://schemas.openxmlformats.org/officeDocument/2006/relationships/hyperlink" Target="#'Workflow'!A101" TargetMode="External" Id="rId1"/></Relationships>
</file>

<file path=xl/worksheets/_rels/sheet15.xml.rels><Relationships xmlns="http://schemas.openxmlformats.org/package/2006/relationships"><Relationship Type="http://schemas.openxmlformats.org/officeDocument/2006/relationships/hyperlink" Target="#'Workflow'!A110" TargetMode="External" Id="rId1"/></Relationships>
</file>

<file path=xl/worksheets/_rels/sheet16.xml.rels><Relationships xmlns="http://schemas.openxmlformats.org/package/2006/relationships"><Relationship Type="http://schemas.openxmlformats.org/officeDocument/2006/relationships/hyperlink" Target="#'Workflow'!A120" TargetMode="External" Id="rId1"/></Relationships>
</file>

<file path=xl/worksheets/_rels/sheet17.xml.rels><Relationships xmlns="http://schemas.openxmlformats.org/package/2006/relationships"><Relationship Type="http://schemas.openxmlformats.org/officeDocument/2006/relationships/hyperlink" Target="#'Workflow'!A127" TargetMode="External" Id="rId1"/></Relationships>
</file>

<file path=xl/worksheets/_rels/sheet18.xml.rels><Relationships xmlns="http://schemas.openxmlformats.org/package/2006/relationships"><Relationship Type="http://schemas.openxmlformats.org/officeDocument/2006/relationships/hyperlink" Target="#'Workflow'!A136" TargetMode="External" Id="rId1"/></Relationships>
</file>

<file path=xl/worksheets/sheet1.xml><?xml version="1.0" encoding="utf-8"?>
<worksheet xmlns="http://schemas.openxmlformats.org/spreadsheetml/2006/main">
  <sheetPr>
    <outlinePr summaryBelow="1" summaryRight="1"/>
    <pageSetUpPr/>
  </sheetPr>
  <dimension ref="A1:B37"/>
  <sheetViews>
    <sheetView showGridLines="0" workbookViewId="0">
      <pane ySplit="3" topLeftCell="A4" activePane="bottomLeft" state="frozen"/>
      <selection pane="bottomLeft" activeCell="A1" sqref="A1"/>
    </sheetView>
  </sheetViews>
  <sheetFormatPr baseColWidth="8" defaultRowHeight="15"/>
  <cols>
    <col width="26" customWidth="1" min="1" max="1"/>
    <col width="100" customWidth="1" min="2" max="2"/>
  </cols>
  <sheetData>
    <row r="1">
      <c r="A1" s="1" t="inlineStr">
        <is>
          <t>CHECKLIST NGHIỆM THU HỆ THỐNG ERP-CRM</t>
        </is>
      </c>
    </row>
    <row r="2">
      <c r="A2" s="2" t="inlineStr">
        <is>
          <t>Kiểm thử theo workflow của từng phòng ban. Mỗi dòng là một tình huống: thao tác → kết quả mong đợi → người test ghi kết quả thực tế.</t>
        </is>
      </c>
    </row>
    <row r="4">
      <c r="A4" s="3" t="inlineStr">
        <is>
          <t>1. Cách làm</t>
        </is>
      </c>
    </row>
    <row r="5">
      <c r="A5" s="4" t="inlineStr">
        <is>
          <t>Bước 1</t>
        </is>
      </c>
      <c r="B5" s="5" t="inlineStr">
        <is>
          <t>Đọc sheet "Workflow" phần của phòng mình để hiểu thứ tự công việc, ai làm, vào menu nào.</t>
        </is>
      </c>
    </row>
    <row r="6">
      <c r="A6" s="4" t="inlineStr">
        <is>
          <t>Bước 2</t>
        </is>
      </c>
      <c r="B6" s="5" t="inlineStr">
        <is>
          <t>Mở sheet của phòng mình (Sales, Sales Manager, Legal, BOD, Admin duyệt đơn, …) — xem sheet "Ma trận vai trò" để biết vai trò nào test sheet nào. Làm lần lượt từng dòng, đăng nhập đúng tài khoản ghi ở dòng 2 của sheet.</t>
        </is>
      </c>
    </row>
    <row r="7">
      <c r="A7" s="4" t="inlineStr">
        <is>
          <t>Bước 3</t>
        </is>
      </c>
      <c r="B7" s="5" t="inlineStr">
        <is>
          <t>Thực hiện cột "Tình huống / Thao tác", so với cột "Kết quả mong đợi", rồi điền các cột nền vàng.</t>
        </is>
      </c>
    </row>
    <row r="8">
      <c r="A8" s="4" t="inlineStr">
        <is>
          <t>Bước 4</t>
        </is>
      </c>
      <c r="B8" s="5" t="inlineStr">
        <is>
          <t>Khi xong, xem sheet "Tổng hợp" (tự đếm), trưởng phòng ghi kết luận và ký.</t>
        </is>
      </c>
    </row>
    <row r="10">
      <c r="A10" s="3" t="inlineStr">
        <is>
          <t>2. Các cột cần điền (nền vàng)</t>
        </is>
      </c>
    </row>
    <row r="11">
      <c r="A11" s="4" t="inlineStr">
        <is>
          <t>Người test / Ngày test</t>
        </is>
      </c>
      <c r="B11" s="5" t="inlineStr">
        <is>
          <t>Tên người thực hiện và ngày test (dd/mm/yyyy).</t>
        </is>
      </c>
    </row>
    <row r="12">
      <c r="A12" s="4" t="inlineStr">
        <is>
          <t>Kết quả</t>
        </is>
      </c>
      <c r="B12" s="5" t="inlineStr">
        <is>
          <t>Chọn trong danh sách:
• Đạt – hệ thống chạy đúng như cột Kết quả mong đợi.
• Không đạt – chạy khác mong đợi (sai số liệu, không chặn khi phải chặn, lỗi trang, sai thông báo, sai người nhận thông báo…).
• Bị chặn – không test được vì bước trước lỗi hoặc thiếu dữ liệu / quyền.
• Chưa test – để trống cũng tính là chưa test.</t>
        </is>
      </c>
    </row>
    <row r="13">
      <c r="A13" s="4" t="inlineStr">
        <is>
          <t>Kết quả thực tế / Mô tả lỗi</t>
        </is>
      </c>
      <c r="B13" s="5" t="inlineStr">
        <is>
          <t>BẮT BUỘC khi Không đạt hoặc Bị chặn (ô sẽ tô đỏ nếu bỏ trống). Ghi rõ 3 ý: đã làm gì (dữ liệu nhập) – hệ thống phản hồi gì – sai ở chỗ nào so với mong đợi.</t>
        </is>
      </c>
    </row>
    <row r="14">
      <c r="A14" s="4" t="inlineStr">
        <is>
          <t>Mức độ lỗi</t>
        </is>
      </c>
      <c r="B14" s="5" t="inlineStr">
        <is>
          <t>• Nghiêm trọng – sai tiền, sai tồn kho, mất dữ liệu, không làm tiếp được nghiệp vụ.
• Cao – chức năng chính sai nhưng có cách làm tạm.
• Trung bình – sai phụ, hiển thị sai, thông báo không rõ.
• Thấp – chính tả, giao diện, góp ý.</t>
        </is>
      </c>
    </row>
    <row r="15">
      <c r="A15" s="4" t="inlineStr">
        <is>
          <t>Bằng chứng</t>
        </is>
      </c>
      <c r="B15" s="5" t="inlineStr">
        <is>
          <t>Tên file ảnh chụp màn hình / link, mã chứng từ liên quan (mã báo giá, SO, PO, phiếu…), tài khoản đã dùng.</t>
        </is>
      </c>
    </row>
    <row r="16">
      <c r="A16" s="4" t="inlineStr">
        <is>
          <t>Dev phản hồi / Trạng thái xử lý</t>
        </is>
      </c>
      <c r="B16" s="5" t="inlineStr">
        <is>
          <t>Đội phát triển ghi nguyên nhân, cách sửa và cập nhật trạng thái: Mới → Đang sửa → Đã sửa – chờ test lại → Test lại đạt (hoặc Không sửa kèm lý do). Người test kiểm lại rồi đổi Kết quả.</t>
        </is>
      </c>
    </row>
    <row r="17">
      <c r="A17" s="4" t="inlineStr">
        <is>
          <t>Ghi chú</t>
        </is>
      </c>
      <c r="B17" s="5" t="inlineStr">
        <is>
          <t>Ý kiến khác, đề xuất cải tiến.</t>
        </is>
      </c>
    </row>
    <row r="19">
      <c r="A19" s="3" t="inlineStr">
        <is>
          <t>3. Ví dụ một dòng Không đạt (ghi theo mẫu này)</t>
        </is>
      </c>
    </row>
    <row r="20">
      <c r="A20" s="6" t="inlineStr">
        <is>
          <t>Mã TC</t>
        </is>
      </c>
      <c r="B20" s="7" t="inlineStr">
        <is>
          <t>SAL-003</t>
        </is>
      </c>
    </row>
    <row r="21">
      <c r="A21" s="6" t="inlineStr">
        <is>
          <t>Tình huống / Thao tác</t>
        </is>
      </c>
      <c r="B21" s="7" t="inlineStr">
        <is>
          <t>Tạo khách có MST trùng với khách đã có</t>
        </is>
      </c>
    </row>
    <row r="22">
      <c r="A22" s="6" t="inlineStr">
        <is>
          <t>Kết quả mong đợi</t>
        </is>
      </c>
      <c r="B22" s="7" t="inlineStr">
        <is>
          <t>Báo lỗi trùng MST, không tạo bản ghi mới</t>
        </is>
      </c>
    </row>
    <row r="23">
      <c r="A23" s="6" t="inlineStr">
        <is>
          <t>Kết quả</t>
        </is>
      </c>
      <c r="B23" s="7" t="inlineStr">
        <is>
          <t>Không đạt</t>
        </is>
      </c>
    </row>
    <row r="24">
      <c r="A24" s="6" t="inlineStr">
        <is>
          <t>Kết quả thực tế / Mô tả lỗi</t>
        </is>
      </c>
      <c r="B24" s="7" t="inlineStr">
        <is>
          <t>Nhập khách "Công ty ABC 2" với MST 0101234567 (đã có ở "Công ty ABC"). Hệ thống báo "Khách hàng đã được tạo thành công" và danh sách có 2 khách cùng MST. Mong đợi phải chặn và báo trùng MST.</t>
        </is>
      </c>
    </row>
    <row r="25">
      <c r="A25" s="6" t="inlineStr">
        <is>
          <t>Mức độ lỗi</t>
        </is>
      </c>
      <c r="B25" s="7" t="inlineStr">
        <is>
          <t>Cao</t>
        </is>
      </c>
    </row>
    <row r="26">
      <c r="A26" s="6" t="inlineStr">
        <is>
          <t>Bằng chứng</t>
        </is>
      </c>
      <c r="B26" s="7" t="inlineStr">
        <is>
          <t>loi_SAL-003.png; tài khoản sales01</t>
        </is>
      </c>
    </row>
    <row r="28">
      <c r="A28" s="3" t="inlineStr">
        <is>
          <t>4. Màu trong file</t>
        </is>
      </c>
    </row>
    <row r="29">
      <c r="A29" s="4" t="inlineStr">
        <is>
          <t>Nền vàng</t>
        </is>
      </c>
      <c r="B29" s="5" t="inlineStr">
        <is>
          <t>Ô người test / dev điền.</t>
        </is>
      </c>
    </row>
    <row r="30">
      <c r="A30" s="4" t="inlineStr">
        <is>
          <t>Nền xám</t>
        </is>
      </c>
      <c r="B30" s="5" t="inlineStr">
        <is>
          <t>Dòng tình huống phát sinh (thiếu dữ liệu, sai dữ liệu, bị từ chối, sai quyền…). Nền trắng là luồng chính.</t>
        </is>
      </c>
    </row>
    <row r="31">
      <c r="A31" s="4" t="inlineStr">
        <is>
          <t>Dòng xanh nhạt</t>
        </is>
      </c>
      <c r="B31" s="5" t="inlineStr">
        <is>
          <t>Tên bước workflow, khớp số bước trong sheet Workflow.</t>
        </is>
      </c>
    </row>
    <row r="32">
      <c r="A32" s="4" t="inlineStr">
        <is>
          <t>Ô đỏ</t>
        </is>
      </c>
      <c r="B32" s="5" t="inlineStr">
        <is>
          <t>Đã chọn Không đạt / Bị chặn nhưng chưa ghi mô tả lỗi hoặc mức độ.</t>
        </is>
      </c>
    </row>
    <row r="34">
      <c r="A34" s="3" t="inlineStr">
        <is>
          <t>5. Chuẩn bị trước khi test</t>
        </is>
      </c>
    </row>
    <row r="35">
      <c r="A35" s="4" t="inlineStr">
        <is>
          <t>Tài khoản</t>
        </is>
      </c>
      <c r="B35" s="5" t="inlineStr">
        <is>
          <t>Mỗi vai trò một tài khoản riêng: Sales Staff, Sales Manager, PO Staff, PO Manager, Nhân viên kho, Quản lý kho, Finance Team, Technical Engineer (2), Technical Team Lead, marketing, Legal Team, Order Management, BOD, Admin / Quản trị viên, và 1 tài khoản không có quyền.</t>
        </is>
      </c>
    </row>
    <row r="36">
      <c r="A36" s="4" t="inlineStr">
        <is>
          <t>Dữ liệu mẫu</t>
        </is>
      </c>
      <c r="B36" s="5" t="inlineStr">
        <is>
          <t>1 khách hàng có sẵn + 1 khách chưa có trong hệ thống; 2 nhà cung cấp; 3 sản phẩm (1 có S/N, 1 không S/N, 1 license); 2 kho (có 1 Kho runrate); 1 bảng giá bán; 1 bảng giá NCC; 1 mẫu tiến độ thanh toán; tỷ giá USD ngày test.</t>
        </is>
      </c>
    </row>
    <row r="37">
      <c r="A37" s="4" t="inlineStr">
        <is>
          <t>Kiểm ở mọi bước</t>
        </is>
      </c>
      <c r="B37" s="5" t="inlineStr">
        <is>
          <t>Thông báo (chuông + email) đến đúng người; badge sidebar tăng / giảm đúng; nhật ký ghi lại người thao tác; người không có quyền không thấy nút và bị chặn khi gọi thẳng URL.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9" customWidth="1" min="3" max="3"/>
    <col width="9" customWidth="1" min="4" max="4"/>
    <col width="11" customWidth="1" min="5" max="5"/>
    <col width="9" customWidth="1" min="6" max="6"/>
    <col width="10" customWidth="1" min="7" max="7"/>
    <col width="10" customWidth="1" min="8" max="8"/>
    <col width="12" customWidth="1" min="9" max="9"/>
    <col width="12" customWidth="1" min="10" max="10"/>
    <col width="9" customWidth="1" min="11" max="11"/>
    <col width="24" customWidth="1" min="12" max="12"/>
    <col width="12" customWidth="1" min="13" max="13"/>
    <col width="20" customWidth="1" min="14" max="14"/>
    <col width="36" customWidth="1" min="15" max="15"/>
  </cols>
  <sheetData>
    <row r="1">
      <c r="A1" s="8" t="inlineStr">
        <is>
          <t>TỔNG HỢP KẾT QUẢ NGHIỆM THU (tự tính từ các sheet phòng ban)</t>
        </is>
      </c>
    </row>
    <row r="3" ht="36" customHeight="1">
      <c r="A3" s="9" t="inlineStr">
        <is>
          <t>Phòng ban</t>
        </is>
      </c>
      <c r="B3" s="9" t="inlineStr">
        <is>
          <t>Sheet</t>
        </is>
      </c>
      <c r="C3" s="9" t="inlineStr">
        <is>
          <t>Tổng TC</t>
        </is>
      </c>
      <c r="D3" s="9" t="inlineStr">
        <is>
          <t>Đạt</t>
        </is>
      </c>
      <c r="E3" s="9" t="inlineStr">
        <is>
          <t>Không đạt</t>
        </is>
      </c>
      <c r="F3" s="9" t="inlineStr">
        <is>
          <t>Bị chặn</t>
        </is>
      </c>
      <c r="G3" s="9" t="inlineStr">
        <is>
          <t>Chưa test</t>
        </is>
      </c>
      <c r="H3" s="9" t="inlineStr">
        <is>
          <t>% đã test</t>
        </is>
      </c>
      <c r="I3" s="9" t="inlineStr">
        <is>
          <t>% đạt (trên số đã test)</t>
        </is>
      </c>
      <c r="J3" s="9" t="inlineStr">
        <is>
          <t>Lỗi Nghiêm trọng</t>
        </is>
      </c>
      <c r="K3" s="9" t="inlineStr">
        <is>
          <t>Lỗi Cao</t>
        </is>
      </c>
      <c r="L3" s="9" t="inlineStr">
        <is>
          <t>Trưởng phòng nghiệm thu</t>
        </is>
      </c>
      <c r="M3" s="9" t="inlineStr">
        <is>
          <t>Ngày ký</t>
        </is>
      </c>
      <c r="N3" s="9" t="inlineStr">
        <is>
          <t>Kết luận</t>
        </is>
      </c>
      <c r="O3" s="9" t="inlineStr">
        <is>
          <t>Ghi chú / điều kiện</t>
        </is>
      </c>
    </row>
    <row r="4">
      <c r="A4" s="10" t="inlineStr">
        <is>
          <t>Kinh doanh (Sales)</t>
        </is>
      </c>
      <c r="B4" s="11" t="inlineStr">
        <is>
          <t>1. Sales</t>
        </is>
      </c>
      <c r="C4" s="12">
        <f>COUNTIF('1. Sales'!$A$6:$A$600,"SAL-*")</f>
        <v/>
      </c>
      <c r="D4" s="12">
        <f>COUNTIF('1. Sales'!$I$6:$I$600,"Đạt")</f>
        <v/>
      </c>
      <c r="E4" s="12">
        <f>COUNTIF('1. Sales'!$I$6:$I$600,"Không đạt")</f>
        <v/>
      </c>
      <c r="F4" s="12">
        <f>COUNTIF('1. Sales'!$I$6:$I$600,"Bị chặn")</f>
        <v/>
      </c>
      <c r="G4" s="12">
        <f>C4-D4-E4-F4</f>
        <v/>
      </c>
      <c r="H4" s="13">
        <f>IF(C4=0,0,(D4+E4+F4)/C4)</f>
        <v/>
      </c>
      <c r="I4" s="13">
        <f>IF(D4+E4=0,0,D4/(D4+E4))</f>
        <v/>
      </c>
      <c r="J4" s="12">
        <f>COUNTIFS('1. Sales'!$I$6:$I$600,"Không đạt",'1. Sales'!$K$6:$K$600,"Nghiêm trọng")</f>
        <v/>
      </c>
      <c r="K4" s="12">
        <f>COUNTIFS('1. Sales'!$I$6:$I$600,"Không đạt",'1. Sales'!$K$6:$K$600,"Cao")</f>
        <v/>
      </c>
      <c r="L4" s="14" t="n"/>
      <c r="M4" s="15" t="n"/>
      <c r="N4" s="14" t="n"/>
      <c r="O4" s="7" t="n"/>
    </row>
    <row r="5">
      <c r="A5" s="10" t="inlineStr">
        <is>
          <t>Sales Manager (Trưởng phòng KD)</t>
        </is>
      </c>
      <c r="B5" s="11" t="inlineStr">
        <is>
          <t>2. Sales Manager</t>
        </is>
      </c>
      <c r="C5" s="12">
        <f>COUNTIF('2. Sales Manager'!$A$6:$A$600,"SM-*")</f>
        <v/>
      </c>
      <c r="D5" s="12">
        <f>COUNTIF('2. Sales Manager'!$I$6:$I$600,"Đạt")</f>
        <v/>
      </c>
      <c r="E5" s="12">
        <f>COUNTIF('2. Sales Manager'!$I$6:$I$600,"Không đạt")</f>
        <v/>
      </c>
      <c r="F5" s="12">
        <f>COUNTIF('2. Sales Manager'!$I$6:$I$600,"Bị chặn")</f>
        <v/>
      </c>
      <c r="G5" s="12">
        <f>C5-D5-E5-F5</f>
        <v/>
      </c>
      <c r="H5" s="13">
        <f>IF(C5=0,0,(D5+E5+F5)/C5)</f>
        <v/>
      </c>
      <c r="I5" s="13">
        <f>IF(D5+E5=0,0,D5/(D5+E5))</f>
        <v/>
      </c>
      <c r="J5" s="12">
        <f>COUNTIFS('2. Sales Manager'!$I$6:$I$600,"Không đạt",'2. Sales Manager'!$K$6:$K$600,"Nghiêm trọng")</f>
        <v/>
      </c>
      <c r="K5" s="12">
        <f>COUNTIFS('2. Sales Manager'!$I$6:$I$600,"Không đạt",'2. Sales Manager'!$K$6:$K$600,"Cao")</f>
        <v/>
      </c>
      <c r="L5" s="14" t="n"/>
      <c r="M5" s="15" t="n"/>
      <c r="N5" s="14" t="n"/>
      <c r="O5" s="7" t="n"/>
    </row>
    <row r="6">
      <c r="A6" s="10" t="inlineStr">
        <is>
          <t>Legal (Pháp chế)</t>
        </is>
      </c>
      <c r="B6" s="11" t="inlineStr">
        <is>
          <t>3. Legal</t>
        </is>
      </c>
      <c r="C6" s="12">
        <f>COUNTIF('3. Legal'!$A$6:$A$600,"LEG-*")</f>
        <v/>
      </c>
      <c r="D6" s="12">
        <f>COUNTIF('3. Legal'!$I$6:$I$600,"Đạt")</f>
        <v/>
      </c>
      <c r="E6" s="12">
        <f>COUNTIF('3. Legal'!$I$6:$I$600,"Không đạt")</f>
        <v/>
      </c>
      <c r="F6" s="12">
        <f>COUNTIF('3. Legal'!$I$6:$I$600,"Bị chặn")</f>
        <v/>
      </c>
      <c r="G6" s="12">
        <f>C6-D6-E6-F6</f>
        <v/>
      </c>
      <c r="H6" s="13">
        <f>IF(C6=0,0,(D6+E6+F6)/C6)</f>
        <v/>
      </c>
      <c r="I6" s="13">
        <f>IF(D6+E6=0,0,D6/(D6+E6))</f>
        <v/>
      </c>
      <c r="J6" s="12">
        <f>COUNTIFS('3. Legal'!$I$6:$I$600,"Không đạt",'3. Legal'!$K$6:$K$600,"Nghiêm trọng")</f>
        <v/>
      </c>
      <c r="K6" s="12">
        <f>COUNTIFS('3. Legal'!$I$6:$I$600,"Không đạt",'3. Legal'!$K$6:$K$600,"Cao")</f>
        <v/>
      </c>
      <c r="L6" s="14" t="n"/>
      <c r="M6" s="15" t="n"/>
      <c r="N6" s="14" t="n"/>
      <c r="O6" s="7" t="n"/>
    </row>
    <row r="7">
      <c r="A7" s="10" t="inlineStr">
        <is>
          <t>BOD</t>
        </is>
      </c>
      <c r="B7" s="11" t="inlineStr">
        <is>
          <t>4. BOD</t>
        </is>
      </c>
      <c r="C7" s="12">
        <f>COUNTIF('4. BOD'!$A$6:$A$600,"BOD-*")</f>
        <v/>
      </c>
      <c r="D7" s="12">
        <f>COUNTIF('4. BOD'!$I$6:$I$600,"Đạt")</f>
        <v/>
      </c>
      <c r="E7" s="12">
        <f>COUNTIF('4. BOD'!$I$6:$I$600,"Không đạt")</f>
        <v/>
      </c>
      <c r="F7" s="12">
        <f>COUNTIF('4. BOD'!$I$6:$I$600,"Bị chặn")</f>
        <v/>
      </c>
      <c r="G7" s="12">
        <f>C7-D7-E7-F7</f>
        <v/>
      </c>
      <c r="H7" s="13">
        <f>IF(C7=0,0,(D7+E7+F7)/C7)</f>
        <v/>
      </c>
      <c r="I7" s="13">
        <f>IF(D7+E7=0,0,D7/(D7+E7))</f>
        <v/>
      </c>
      <c r="J7" s="12">
        <f>COUNTIFS('4. BOD'!$I$6:$I$600,"Không đạt",'4. BOD'!$K$6:$K$600,"Nghiêm trọng")</f>
        <v/>
      </c>
      <c r="K7" s="12">
        <f>COUNTIFS('4. BOD'!$I$6:$I$600,"Không đạt",'4. BOD'!$K$6:$K$600,"Cao")</f>
        <v/>
      </c>
      <c r="L7" s="14" t="n"/>
      <c r="M7" s="15" t="n"/>
      <c r="N7" s="14" t="n"/>
      <c r="O7" s="7" t="n"/>
    </row>
    <row r="8">
      <c r="A8" s="10" t="inlineStr">
        <is>
          <t>Admin duyệt đơn (đặt hàng &amp; xuất hàng)</t>
        </is>
      </c>
      <c r="B8" s="11" t="inlineStr">
        <is>
          <t>5. Admin duyệt đơn</t>
        </is>
      </c>
      <c r="C8" s="12">
        <f>COUNTIF('5. Admin duyệt đơn'!$A$6:$A$600,"OAD-*")</f>
        <v/>
      </c>
      <c r="D8" s="12">
        <f>COUNTIF('5. Admin duyệt đơn'!$I$6:$I$600,"Đạt")</f>
        <v/>
      </c>
      <c r="E8" s="12">
        <f>COUNTIF('5. Admin duyệt đơn'!$I$6:$I$600,"Không đạt")</f>
        <v/>
      </c>
      <c r="F8" s="12">
        <f>COUNTIF('5. Admin duyệt đơn'!$I$6:$I$600,"Bị chặn")</f>
        <v/>
      </c>
      <c r="G8" s="12">
        <f>C8-D8-E8-F8</f>
        <v/>
      </c>
      <c r="H8" s="13">
        <f>IF(C8=0,0,(D8+E8+F8)/C8)</f>
        <v/>
      </c>
      <c r="I8" s="13">
        <f>IF(D8+E8=0,0,D8/(D8+E8))</f>
        <v/>
      </c>
      <c r="J8" s="12">
        <f>COUNTIFS('5. Admin duyệt đơn'!$I$6:$I$600,"Không đạt",'5. Admin duyệt đơn'!$K$6:$K$600,"Nghiêm trọng")</f>
        <v/>
      </c>
      <c r="K8" s="12">
        <f>COUNTIFS('5. Admin duyệt đơn'!$I$6:$I$600,"Không đạt",'5. Admin duyệt đơn'!$K$6:$K$600,"Cao")</f>
        <v/>
      </c>
      <c r="L8" s="14" t="n"/>
      <c r="M8" s="15" t="n"/>
      <c r="N8" s="14" t="n"/>
      <c r="O8" s="7" t="n"/>
    </row>
    <row r="9">
      <c r="A9" s="10" t="inlineStr">
        <is>
          <t>Order Management (Quản lý đơn hàng)</t>
        </is>
      </c>
      <c r="B9" s="11" t="inlineStr">
        <is>
          <t>6. Order Management</t>
        </is>
      </c>
      <c r="C9" s="12">
        <f>COUNTIF('6. Order Management'!$A$6:$A$600,"OM-*")</f>
        <v/>
      </c>
      <c r="D9" s="12">
        <f>COUNTIF('6. Order Management'!$I$6:$I$600,"Đạt")</f>
        <v/>
      </c>
      <c r="E9" s="12">
        <f>COUNTIF('6. Order Management'!$I$6:$I$600,"Không đạt")</f>
        <v/>
      </c>
      <c r="F9" s="12">
        <f>COUNTIF('6. Order Management'!$I$6:$I$600,"Bị chặn")</f>
        <v/>
      </c>
      <c r="G9" s="12">
        <f>C9-D9-E9-F9</f>
        <v/>
      </c>
      <c r="H9" s="13">
        <f>IF(C9=0,0,(D9+E9+F9)/C9)</f>
        <v/>
      </c>
      <c r="I9" s="13">
        <f>IF(D9+E9=0,0,D9/(D9+E9))</f>
        <v/>
      </c>
      <c r="J9" s="12">
        <f>COUNTIFS('6. Order Management'!$I$6:$I$600,"Không đạt",'6. Order Management'!$K$6:$K$600,"Nghiêm trọng")</f>
        <v/>
      </c>
      <c r="K9" s="12">
        <f>COUNTIFS('6. Order Management'!$I$6:$I$600,"Không đạt",'6. Order Management'!$K$6:$K$600,"Cao")</f>
        <v/>
      </c>
      <c r="L9" s="14" t="n"/>
      <c r="M9" s="15" t="n"/>
      <c r="N9" s="14" t="n"/>
      <c r="O9" s="7" t="n"/>
    </row>
    <row r="10">
      <c r="A10" s="10" t="inlineStr">
        <is>
          <t>Mua hàng (PO Team)</t>
        </is>
      </c>
      <c r="B10" s="11" t="inlineStr">
        <is>
          <t>7. Mua hàng</t>
        </is>
      </c>
      <c r="C10" s="12">
        <f>COUNTIF('7. Mua hàng'!$A$6:$A$600,"PUR-*")</f>
        <v/>
      </c>
      <c r="D10" s="12">
        <f>COUNTIF('7. Mua hàng'!$I$6:$I$600,"Đạt")</f>
        <v/>
      </c>
      <c r="E10" s="12">
        <f>COUNTIF('7. Mua hàng'!$I$6:$I$600,"Không đạt")</f>
        <v/>
      </c>
      <c r="F10" s="12">
        <f>COUNTIF('7. Mua hàng'!$I$6:$I$600,"Bị chặn")</f>
        <v/>
      </c>
      <c r="G10" s="12">
        <f>C10-D10-E10-F10</f>
        <v/>
      </c>
      <c r="H10" s="13">
        <f>IF(C10=0,0,(D10+E10+F10)/C10)</f>
        <v/>
      </c>
      <c r="I10" s="13">
        <f>IF(D10+E10=0,0,D10/(D10+E10))</f>
        <v/>
      </c>
      <c r="J10" s="12">
        <f>COUNTIFS('7. Mua hàng'!$I$6:$I$600,"Không đạt",'7. Mua hàng'!$K$6:$K$600,"Nghiêm trọng")</f>
        <v/>
      </c>
      <c r="K10" s="12">
        <f>COUNTIFS('7. Mua hàng'!$I$6:$I$600,"Không đạt",'7. Mua hàng'!$K$6:$K$600,"Cao")</f>
        <v/>
      </c>
      <c r="L10" s="14" t="n"/>
      <c r="M10" s="15" t="n"/>
      <c r="N10" s="14" t="n"/>
      <c r="O10" s="7" t="n"/>
    </row>
    <row r="11">
      <c r="A11" s="10" t="inlineStr">
        <is>
          <t>Kho</t>
        </is>
      </c>
      <c r="B11" s="11" t="inlineStr">
        <is>
          <t>8. Kho</t>
        </is>
      </c>
      <c r="C11" s="12">
        <f>COUNTIF('8. Kho'!$A$6:$A$600,"WH-*")</f>
        <v/>
      </c>
      <c r="D11" s="12">
        <f>COUNTIF('8. Kho'!$I$6:$I$600,"Đạt")</f>
        <v/>
      </c>
      <c r="E11" s="12">
        <f>COUNTIF('8. Kho'!$I$6:$I$600,"Không đạt")</f>
        <v/>
      </c>
      <c r="F11" s="12">
        <f>COUNTIF('8. Kho'!$I$6:$I$600,"Bị chặn")</f>
        <v/>
      </c>
      <c r="G11" s="12">
        <f>C11-D11-E11-F11</f>
        <v/>
      </c>
      <c r="H11" s="13">
        <f>IF(C11=0,0,(D11+E11+F11)/C11)</f>
        <v/>
      </c>
      <c r="I11" s="13">
        <f>IF(D11+E11=0,0,D11/(D11+E11))</f>
        <v/>
      </c>
      <c r="J11" s="12">
        <f>COUNTIFS('8. Kho'!$I$6:$I$600,"Không đạt",'8. Kho'!$K$6:$K$600,"Nghiêm trọng")</f>
        <v/>
      </c>
      <c r="K11" s="12">
        <f>COUNTIFS('8. Kho'!$I$6:$I$600,"Không đạt",'8. Kho'!$K$6:$K$600,"Cao")</f>
        <v/>
      </c>
      <c r="L11" s="14" t="n"/>
      <c r="M11" s="15" t="n"/>
      <c r="N11" s="14" t="n"/>
      <c r="O11" s="7" t="n"/>
    </row>
    <row r="12">
      <c r="A12" s="10" t="inlineStr">
        <is>
          <t>Kế toán – Tài chính</t>
        </is>
      </c>
      <c r="B12" s="11" t="inlineStr">
        <is>
          <t>9. Kế toán</t>
        </is>
      </c>
      <c r="C12" s="12">
        <f>COUNTIF('9. Kế toán'!$A$6:$A$600,"ACC-*")</f>
        <v/>
      </c>
      <c r="D12" s="12">
        <f>COUNTIF('9. Kế toán'!$I$6:$I$600,"Đạt")</f>
        <v/>
      </c>
      <c r="E12" s="12">
        <f>COUNTIF('9. Kế toán'!$I$6:$I$600,"Không đạt")</f>
        <v/>
      </c>
      <c r="F12" s="12">
        <f>COUNTIF('9. Kế toán'!$I$6:$I$600,"Bị chặn")</f>
        <v/>
      </c>
      <c r="G12" s="12">
        <f>C12-D12-E12-F12</f>
        <v/>
      </c>
      <c r="H12" s="13">
        <f>IF(C12=0,0,(D12+E12+F12)/C12)</f>
        <v/>
      </c>
      <c r="I12" s="13">
        <f>IF(D12+E12=0,0,D12/(D12+E12))</f>
        <v/>
      </c>
      <c r="J12" s="12">
        <f>COUNTIFS('9. Kế toán'!$I$6:$I$600,"Không đạt",'9. Kế toán'!$K$6:$K$600,"Nghiêm trọng")</f>
        <v/>
      </c>
      <c r="K12" s="12">
        <f>COUNTIFS('9. Kế toán'!$I$6:$I$600,"Không đạt",'9. Kế toán'!$K$6:$K$600,"Cao")</f>
        <v/>
      </c>
      <c r="L12" s="14" t="n"/>
      <c r="M12" s="15" t="n"/>
      <c r="N12" s="14" t="n"/>
      <c r="O12" s="7" t="n"/>
    </row>
    <row r="13">
      <c r="A13" s="10" t="inlineStr">
        <is>
          <t>Kỹ sư kỹ thuật</t>
        </is>
      </c>
      <c r="B13" s="11" t="inlineStr">
        <is>
          <t>10. Kỹ sư KT</t>
        </is>
      </c>
      <c r="C13" s="12">
        <f>COUNTIF('10. Kỹ sư KT'!$A$6:$A$600,"TEC-*")</f>
        <v/>
      </c>
      <c r="D13" s="12">
        <f>COUNTIF('10. Kỹ sư KT'!$I$6:$I$600,"Đạt")</f>
        <v/>
      </c>
      <c r="E13" s="12">
        <f>COUNTIF('10. Kỹ sư KT'!$I$6:$I$600,"Không đạt")</f>
        <v/>
      </c>
      <c r="F13" s="12">
        <f>COUNTIF('10. Kỹ sư KT'!$I$6:$I$600,"Bị chặn")</f>
        <v/>
      </c>
      <c r="G13" s="12">
        <f>C13-D13-E13-F13</f>
        <v/>
      </c>
      <c r="H13" s="13">
        <f>IF(C13=0,0,(D13+E13+F13)/C13)</f>
        <v/>
      </c>
      <c r="I13" s="13">
        <f>IF(D13+E13=0,0,D13/(D13+E13))</f>
        <v/>
      </c>
      <c r="J13" s="12">
        <f>COUNTIFS('10. Kỹ sư KT'!$I$6:$I$600,"Không đạt",'10. Kỹ sư KT'!$K$6:$K$600,"Nghiêm trọng")</f>
        <v/>
      </c>
      <c r="K13" s="12">
        <f>COUNTIFS('10. Kỹ sư KT'!$I$6:$I$600,"Không đạt",'10. Kỹ sư KT'!$K$6:$K$600,"Cao")</f>
        <v/>
      </c>
      <c r="L13" s="14" t="n"/>
      <c r="M13" s="15" t="n"/>
      <c r="N13" s="14" t="n"/>
      <c r="O13" s="7" t="n"/>
    </row>
    <row r="14">
      <c r="A14" s="10" t="inlineStr">
        <is>
          <t>Tech Lead (Trưởng nhóm KT)</t>
        </is>
      </c>
      <c r="B14" s="11" t="inlineStr">
        <is>
          <t>11. Tech Lead</t>
        </is>
      </c>
      <c r="C14" s="12">
        <f>COUNTIF('11. Tech Lead'!$A$6:$A$600,"TL-*")</f>
        <v/>
      </c>
      <c r="D14" s="12">
        <f>COUNTIF('11. Tech Lead'!$I$6:$I$600,"Đạt")</f>
        <v/>
      </c>
      <c r="E14" s="12">
        <f>COUNTIF('11. Tech Lead'!$I$6:$I$600,"Không đạt")</f>
        <v/>
      </c>
      <c r="F14" s="12">
        <f>COUNTIF('11. Tech Lead'!$I$6:$I$600,"Bị chặn")</f>
        <v/>
      </c>
      <c r="G14" s="12">
        <f>C14-D14-E14-F14</f>
        <v/>
      </c>
      <c r="H14" s="13">
        <f>IF(C14=0,0,(D14+E14+F14)/C14)</f>
        <v/>
      </c>
      <c r="I14" s="13">
        <f>IF(D14+E14=0,0,D14/(D14+E14))</f>
        <v/>
      </c>
      <c r="J14" s="12">
        <f>COUNTIFS('11. Tech Lead'!$I$6:$I$600,"Không đạt",'11. Tech Lead'!$K$6:$K$600,"Nghiêm trọng")</f>
        <v/>
      </c>
      <c r="K14" s="12">
        <f>COUNTIFS('11. Tech Lead'!$I$6:$I$600,"Không đạt",'11. Tech Lead'!$K$6:$K$600,"Cao")</f>
        <v/>
      </c>
      <c r="L14" s="14" t="n"/>
      <c r="M14" s="15" t="n"/>
      <c r="N14" s="14" t="n"/>
      <c r="O14" s="7" t="n"/>
    </row>
    <row r="15">
      <c r="A15" s="10" t="inlineStr">
        <is>
          <t>Marketing</t>
        </is>
      </c>
      <c r="B15" s="11" t="inlineStr">
        <is>
          <t>12. Marketing</t>
        </is>
      </c>
      <c r="C15" s="12">
        <f>COUNTIF('12. Marketing'!$A$6:$A$600,"MKT-*")</f>
        <v/>
      </c>
      <c r="D15" s="12">
        <f>COUNTIF('12. Marketing'!$I$6:$I$600,"Đạt")</f>
        <v/>
      </c>
      <c r="E15" s="12">
        <f>COUNTIF('12. Marketing'!$I$6:$I$600,"Không đạt")</f>
        <v/>
      </c>
      <c r="F15" s="12">
        <f>COUNTIF('12. Marketing'!$I$6:$I$600,"Bị chặn")</f>
        <v/>
      </c>
      <c r="G15" s="12">
        <f>C15-D15-E15-F15</f>
        <v/>
      </c>
      <c r="H15" s="13">
        <f>IF(C15=0,0,(D15+E15+F15)/C15)</f>
        <v/>
      </c>
      <c r="I15" s="13">
        <f>IF(D15+E15=0,0,D15/(D15+E15))</f>
        <v/>
      </c>
      <c r="J15" s="12">
        <f>COUNTIFS('12. Marketing'!$I$6:$I$600,"Không đạt",'12. Marketing'!$K$6:$K$600,"Nghiêm trọng")</f>
        <v/>
      </c>
      <c r="K15" s="12">
        <f>COUNTIFS('12. Marketing'!$I$6:$I$600,"Không đạt",'12. Marketing'!$K$6:$K$600,"Cao")</f>
        <v/>
      </c>
      <c r="L15" s="14" t="n"/>
      <c r="M15" s="15" t="n"/>
      <c r="N15" s="14" t="n"/>
      <c r="O15" s="7" t="n"/>
    </row>
    <row r="16">
      <c r="A16" s="10" t="inlineStr">
        <is>
          <t>Quản trị hệ thống (Admin IT)</t>
        </is>
      </c>
      <c r="B16" s="11" t="inlineStr">
        <is>
          <t>13. Quản trị hệ thống</t>
        </is>
      </c>
      <c r="C16" s="12">
        <f>COUNTIF('13. Quản trị hệ thống'!$A$6:$A$600,"SYS-*")</f>
        <v/>
      </c>
      <c r="D16" s="12">
        <f>COUNTIF('13. Quản trị hệ thống'!$I$6:$I$600,"Đạt")</f>
        <v/>
      </c>
      <c r="E16" s="12">
        <f>COUNTIF('13. Quản trị hệ thống'!$I$6:$I$600,"Không đạt")</f>
        <v/>
      </c>
      <c r="F16" s="12">
        <f>COUNTIF('13. Quản trị hệ thống'!$I$6:$I$600,"Bị chặn")</f>
        <v/>
      </c>
      <c r="G16" s="12">
        <f>C16-D16-E16-F16</f>
        <v/>
      </c>
      <c r="H16" s="13">
        <f>IF(C16=0,0,(D16+E16+F16)/C16)</f>
        <v/>
      </c>
      <c r="I16" s="13">
        <f>IF(D16+E16=0,0,D16/(D16+E16))</f>
        <v/>
      </c>
      <c r="J16" s="12">
        <f>COUNTIFS('13. Quản trị hệ thống'!$I$6:$I$600,"Không đạt",'13. Quản trị hệ thống'!$K$6:$K$600,"Nghiêm trọng")</f>
        <v/>
      </c>
      <c r="K16" s="12">
        <f>COUNTIFS('13. Quản trị hệ thống'!$I$6:$I$600,"Không đạt",'13. Quản trị hệ thống'!$K$6:$K$600,"Cao")</f>
        <v/>
      </c>
      <c r="L16" s="14" t="n"/>
      <c r="M16" s="15" t="n"/>
      <c r="N16" s="14" t="n"/>
      <c r="O16" s="7" t="n"/>
    </row>
    <row r="17">
      <c r="A17" s="10" t="inlineStr">
        <is>
          <t>Liên phòng ban (end-to-end)</t>
        </is>
      </c>
      <c r="B17" s="11" t="inlineStr">
        <is>
          <t>14. Liên phòng ban</t>
        </is>
      </c>
      <c r="C17" s="12">
        <f>COUNTIF('14. Liên phòng ban'!$A$6:$A$600,"E2E-*")</f>
        <v/>
      </c>
      <c r="D17" s="12">
        <f>COUNTIF('14. Liên phòng ban'!$I$6:$I$600,"Đạt")</f>
        <v/>
      </c>
      <c r="E17" s="12">
        <f>COUNTIF('14. Liên phòng ban'!$I$6:$I$600,"Không đạt")</f>
        <v/>
      </c>
      <c r="F17" s="12">
        <f>COUNTIF('14. Liên phòng ban'!$I$6:$I$600,"Bị chặn")</f>
        <v/>
      </c>
      <c r="G17" s="12">
        <f>C17-D17-E17-F17</f>
        <v/>
      </c>
      <c r="H17" s="13">
        <f>IF(C17=0,0,(D17+E17+F17)/C17)</f>
        <v/>
      </c>
      <c r="I17" s="13">
        <f>IF(D17+E17=0,0,D17/(D17+E17))</f>
        <v/>
      </c>
      <c r="J17" s="12">
        <f>COUNTIFS('14. Liên phòng ban'!$I$6:$I$600,"Không đạt",'14. Liên phòng ban'!$K$6:$K$600,"Nghiêm trọng")</f>
        <v/>
      </c>
      <c r="K17" s="12">
        <f>COUNTIFS('14. Liên phòng ban'!$I$6:$I$600,"Không đạt",'14. Liên phòng ban'!$K$6:$K$600,"Cao")</f>
        <v/>
      </c>
      <c r="L17" s="14" t="n"/>
      <c r="M17" s="15" t="n"/>
      <c r="N17" s="14" t="n"/>
      <c r="O17" s="7" t="n"/>
    </row>
    <row r="18">
      <c r="A18" s="16" t="inlineStr">
        <is>
          <t>TỔNG CỘNG</t>
        </is>
      </c>
      <c r="B18" s="17" t="n"/>
      <c r="C18" s="17">
        <f>SUM(C4:C17)</f>
        <v/>
      </c>
      <c r="D18" s="17">
        <f>SUM(D4:D17)</f>
        <v/>
      </c>
      <c r="E18" s="17">
        <f>SUM(E4:E17)</f>
        <v/>
      </c>
      <c r="F18" s="17">
        <f>SUM(F4:F17)</f>
        <v/>
      </c>
      <c r="G18" s="17">
        <f>SUM(G4:G17)</f>
        <v/>
      </c>
      <c r="H18" s="18">
        <f>IF(C18=0,0,(D18+E18+F18)/C18)</f>
        <v/>
      </c>
      <c r="I18" s="18">
        <f>IF(D18+E18=0,0,D18/(D18+E18))</f>
        <v/>
      </c>
      <c r="J18" s="17">
        <f>SUM(J4:J17)</f>
        <v/>
      </c>
      <c r="K18" s="17">
        <f>SUM(K4:K17)</f>
        <v/>
      </c>
      <c r="L18" s="17" t="n"/>
      <c r="M18" s="17" t="n"/>
      <c r="N18" s="17" t="n"/>
      <c r="O18" s="17" t="n"/>
    </row>
    <row r="20">
      <c r="A20" s="19" t="inlineStr">
        <is>
          <t>Quy ước kết luận:</t>
        </is>
      </c>
    </row>
    <row r="21">
      <c r="A21" s="20" t="inlineStr">
        <is>
          <t>• Đạt: mọi dòng đã test, không còn lỗi Nghiêm trọng / Cao chưa sửa.</t>
        </is>
      </c>
    </row>
    <row r="22">
      <c r="A22" s="20" t="inlineStr">
        <is>
          <t>• Đạt có điều kiện: còn lỗi Trung bình / Thấp — ghi danh sách mã TC và hạn sửa vào cột Ghi chú.</t>
        </is>
      </c>
    </row>
    <row r="23">
      <c r="A23" s="20" t="inlineStr">
        <is>
          <t>• Không đạt: còn lỗi Nghiêm trọng / Cao, hoặc còn dòng Bị chặn / Chưa test ở luồng chính.</t>
        </is>
      </c>
    </row>
  </sheetData>
  <mergeCells count="1">
    <mergeCell ref="A1:O1"/>
  </mergeCells>
  <conditionalFormatting sqref="N4:N17">
    <cfRule type="expression" priority="1" dxfId="0">
      <formula>$N4="Đạt"</formula>
    </cfRule>
    <cfRule type="expression" priority="2" dxfId="1">
      <formula>$N4="Không đạt"</formula>
    </cfRule>
    <cfRule type="expression" priority="3" dxfId="2">
      <formula>$N4="Đạt có điều kiện"</formula>
    </cfRule>
  </conditionalFormatting>
  <conditionalFormatting sqref="J4:J17">
    <cfRule type="expression" priority="4" dxfId="3">
      <formula>$J4&gt;0</formula>
    </cfRule>
  </conditionalFormatting>
  <dataValidations count="1">
    <dataValidation sqref="N4:N17" showDropDown="0" showInputMessage="0" showErrorMessage="0" allowBlank="1" type="list">
      <formula1>"Đạt,Đạt có điều kiện,Không đạt"</formula1>
    </dataValidation>
  </dataValidation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24" customWidth="1" min="1" max="1"/>
    <col width="26" customWidth="1" min="2" max="2"/>
    <col width="24" customWidth="1" min="3" max="3"/>
    <col width="56" customWidth="1" min="4" max="4"/>
    <col width="44" customWidth="1" min="5" max="5"/>
    <col width="22" customWidth="1" min="6" max="6"/>
  </cols>
  <sheetData>
    <row r="1">
      <c r="A1" s="8" t="inlineStr">
        <is>
          <t>MA TRẬN VAI TRÒ – ai làm gì, ai duyệt gì, test ở sheet nào</t>
        </is>
      </c>
    </row>
    <row r="2" ht="30" customHeight="1">
      <c r="A2" s="21" t="inlineStr">
        <is>
          <t>Điền cột "Người thực hiện" bằng tên người thật đang giữ vai trò đó. Quyền duyệt ghi theo code hiện tại; nếu thực tế công ty phân công khác thì ghi chú để chỉnh phân quyền.</t>
        </is>
      </c>
    </row>
    <row r="4">
      <c r="A4" s="9" t="inlineStr">
        <is>
          <t>Vai trò (tên trên hệ thống)</t>
        </is>
      </c>
      <c r="B4" s="9" t="inlineStr">
        <is>
          <t>Chức danh</t>
        </is>
      </c>
      <c r="C4" s="9" t="inlineStr">
        <is>
          <t>Người thực hiện (điền tên)</t>
        </is>
      </c>
      <c r="D4" s="9" t="inlineStr">
        <is>
          <t>Làm gì trong hệ thống</t>
        </is>
      </c>
      <c r="E4" s="9" t="inlineStr">
        <is>
          <t>Duyệt gì</t>
        </is>
      </c>
      <c r="F4" s="9" t="inlineStr">
        <is>
          <t>Sheet test</t>
        </is>
      </c>
    </row>
    <row r="5">
      <c r="A5" s="22" t="inlineStr">
        <is>
          <t>Sales Staff</t>
        </is>
      </c>
      <c r="B5" s="10" t="inlineStr">
        <is>
          <t>Nhân viên kinh doanh</t>
        </is>
      </c>
      <c r="C5" s="7" t="n"/>
      <c r="D5" s="10" t="inlineStr">
        <is>
          <t>Khách hàng, cơ hội, ĐKDA, báo giá, đơn hàng, P&amp;L, yêu cầu đặt hàng, yêu cầu xuất HĐ / xuất kho, upload UNC</t>
        </is>
      </c>
      <c r="E5" s="10" t="inlineStr">
        <is>
          <t>—</t>
        </is>
      </c>
      <c r="F5" s="23" t="inlineStr">
        <is>
          <t>1. Sales</t>
        </is>
      </c>
    </row>
    <row r="6">
      <c r="A6" s="22" t="inlineStr">
        <is>
          <t>Sales Manager</t>
        </is>
      </c>
      <c r="B6" s="10" t="inlineStr">
        <is>
          <t>Trưởng phòng kinh doanh</t>
        </is>
      </c>
      <c r="C6" s="7" t="n"/>
      <c r="D6" s="10" t="inlineStr">
        <is>
          <t>Xem dữ liệu cả nhóm, xác nhận hoạt động, P.I.C phụ, gửi P&amp;L thay Sales, đôn đốc công nợ</t>
        </is>
      </c>
      <c r="E6" s="10" t="inlineStr">
        <is>
          <t>Yêu cầu đặt hàng (code cho phép)</t>
        </is>
      </c>
      <c r="F6" s="23" t="inlineStr">
        <is>
          <t>2. Sales Manager</t>
        </is>
      </c>
    </row>
    <row r="7">
      <c r="A7" s="22" t="inlineStr">
        <is>
          <t>Legal Team</t>
        </is>
      </c>
      <c r="B7" s="10" t="inlineStr">
        <is>
          <t>Pháp chế</t>
        </is>
      </c>
      <c r="C7" s="7" t="n"/>
      <c r="D7" s="10" t="inlineStr">
        <is>
          <t>Thẩm định hợp đồng &amp; P&amp;L</t>
        </is>
      </c>
      <c r="E7" s="10" t="inlineStr">
        <is>
          <t>P&amp;L / HĐMB cấp 1</t>
        </is>
      </c>
      <c r="F7" s="23" t="inlineStr">
        <is>
          <t>3. Legal</t>
        </is>
      </c>
    </row>
    <row r="8">
      <c r="A8" s="22" t="inlineStr">
        <is>
          <t>BOD</t>
        </is>
      </c>
      <c r="B8" s="10" t="inlineStr">
        <is>
          <t>Ban giám đốc</t>
        </is>
      </c>
      <c r="C8" s="7" t="n"/>
      <c r="D8" s="10" t="inlineStr">
        <is>
          <t>Dashboard, báo cáo</t>
        </is>
      </c>
      <c r="E8" s="10" t="inlineStr">
        <is>
          <t>P&amp;L cấp 2, ngoại lệ thanh toán, mở lại P&amp;L, quà tặng, ngân sách MKT cấp 2, vật phẩm, chi phí, công tác</t>
        </is>
      </c>
      <c r="F8" s="23" t="inlineStr">
        <is>
          <t>4. BOD</t>
        </is>
      </c>
    </row>
    <row r="9">
      <c r="A9" s="22" t="inlineStr">
        <is>
          <t>Admin</t>
        </is>
      </c>
      <c r="B9" s="10" t="inlineStr">
        <is>
          <t>Admin kiểm soát đơn hàng</t>
        </is>
      </c>
      <c r="C9" s="7" t="n"/>
      <c r="D9" s="10" t="inlineStr">
        <is>
          <t>Kiểm tra hồ sơ ở khâu đặt hàng và khâu xuất hàng; sửa Số PO phiếu nhập; xóa PO</t>
        </is>
      </c>
      <c r="E9" s="10" t="inlineStr">
        <is>
          <t>Yêu cầu đặt hàng, đề xuất xuất kho</t>
        </is>
      </c>
      <c r="F9" s="23" t="inlineStr">
        <is>
          <t>5. Admin duyệt đơn</t>
        </is>
      </c>
    </row>
    <row r="10">
      <c r="A10" s="22" t="inlineStr">
        <is>
          <t>Order Management</t>
        </is>
      </c>
      <c r="B10" s="10" t="inlineStr">
        <is>
          <t>Quản lý đơn hàng (chị Bích)</t>
        </is>
      </c>
      <c r="C10" s="7" t="n"/>
      <c r="D10" s="10" t="inlineStr">
        <is>
          <t>Kiểm soát đơn hàng từ lúc đặt hàng đến xuất hàng; quản lý PO Team (PR, gom đơn, PO, NCC, bảng giá NCC, báo cáo mua hàng); xem toàn bộ báo giá, đơn hàng</t>
        </is>
      </c>
      <c r="E10" s="10" t="inlineStr">
        <is>
          <t>Yêu cầu đặt hàng, tiếp nhận PR, PO, đề xuất xuất kho, ngân sách Marketing cấp 1</t>
        </is>
      </c>
      <c r="F10" s="23" t="inlineStr">
        <is>
          <t>6. Order Management</t>
        </is>
      </c>
    </row>
    <row r="11">
      <c r="A11" s="22" t="inlineStr">
        <is>
          <t>PO Staff</t>
        </is>
      </c>
      <c r="B11" s="10" t="inlineStr">
        <is>
          <t>Nhân viên mua hàng (PO Team)</t>
        </is>
      </c>
      <c r="C11" s="7" t="n"/>
      <c r="D11" s="10" t="inlineStr">
        <is>
          <t>Bảng giá NCC, gom đơn, PO, theo dõi hàng về, nhận hàng, S/N</t>
        </is>
      </c>
      <c r="E11" s="10" t="inlineStr">
        <is>
          <t>—</t>
        </is>
      </c>
      <c r="F11" s="23" t="inlineStr">
        <is>
          <t>7. Mua hàng</t>
        </is>
      </c>
    </row>
    <row r="12">
      <c r="A12" s="22" t="inlineStr">
        <is>
          <t>PO Manager</t>
        </is>
      </c>
      <c r="B12" s="10" t="inlineStr">
        <is>
          <t>Trưởng phòng mua hàng</t>
        </is>
      </c>
      <c r="C12" s="7" t="n"/>
      <c r="D12" s="10" t="inlineStr">
        <is>
          <t>Như PO Staff</t>
        </is>
      </c>
      <c r="E12" s="10" t="inlineStr">
        <is>
          <t>PO; theo code cũng duyệt được yêu cầu đặt hàng và xuất kho</t>
        </is>
      </c>
      <c r="F12" s="23" t="inlineStr">
        <is>
          <t>7. Mua hàng</t>
        </is>
      </c>
    </row>
    <row r="13">
      <c r="A13" s="22" t="inlineStr">
        <is>
          <t>Nhân viên kho</t>
        </is>
      </c>
      <c r="B13" s="10" t="inlineStr">
        <is>
          <t>Nhân viên kho</t>
        </is>
      </c>
      <c r="C13" s="7" t="n"/>
      <c r="D13" s="10" t="inlineStr">
        <is>
          <t>Nhập kho, xuất kho, chuyển kho, giữ hàng, hàng hỏng, tồn kho</t>
        </is>
      </c>
      <c r="E13" s="10" t="inlineStr">
        <is>
          <t>—</t>
        </is>
      </c>
      <c r="F13" s="23" t="inlineStr">
        <is>
          <t>8. Kho</t>
        </is>
      </c>
    </row>
    <row r="14">
      <c r="A14" s="22" t="inlineStr">
        <is>
          <t>Quản lý kho</t>
        </is>
      </c>
      <c r="B14" s="10" t="inlineStr">
        <is>
          <t>Quản lý kho</t>
        </is>
      </c>
      <c r="C14" s="7" t="n"/>
      <c r="D14" s="10" t="inlineStr">
        <is>
          <t>Như Nhân viên kho</t>
        </is>
      </c>
      <c r="E14" s="10" t="inlineStr">
        <is>
          <t>Phiếu nhập / xuất / chuyển, yêu cầu giữ hàng, báo hỏng</t>
        </is>
      </c>
      <c r="F14" s="23" t="inlineStr">
        <is>
          <t>8. Kho</t>
        </is>
      </c>
    </row>
    <row r="15">
      <c r="A15" s="22" t="inlineStr">
        <is>
          <t>Finance Team</t>
        </is>
      </c>
      <c r="B15" s="10" t="inlineStr">
        <is>
          <t>Kế toán</t>
        </is>
      </c>
      <c r="C15" s="7" t="n"/>
      <c r="D15" s="10" t="inlineStr">
        <is>
          <t>Tỷ giá, mẫu thanh toán, công nợ khách hàng, tổng doanh số</t>
        </is>
      </c>
      <c r="E15" s="10" t="inlineStr">
        <is>
          <t>Xác nhận UNC, xuất hóa đơn, chi phí Marketing</t>
        </is>
      </c>
      <c r="F15" s="23" t="inlineStr">
        <is>
          <t>9. Kế toán</t>
        </is>
      </c>
    </row>
    <row r="16">
      <c r="A16" s="22" t="inlineStr">
        <is>
          <t>Technical Engineer</t>
        </is>
      </c>
      <c r="B16" s="10" t="inlineStr">
        <is>
          <t>Kỹ sư kỹ thuật</t>
        </is>
      </c>
      <c r="C16" s="7" t="n"/>
      <c r="D16" s="10" t="inlineStr">
        <is>
          <t>Nhận và xử lý ticket, nhật ký hỗ trợ, tra cứu S/N</t>
        </is>
      </c>
      <c r="E16" s="10" t="inlineStr">
        <is>
          <t>—</t>
        </is>
      </c>
      <c r="F16" s="23" t="inlineStr">
        <is>
          <t>10. Kỹ sư KT</t>
        </is>
      </c>
    </row>
    <row r="17">
      <c r="A17" s="22" t="inlineStr">
        <is>
          <t>Technical Team Lead</t>
        </is>
      </c>
      <c r="B17" s="10" t="inlineStr">
        <is>
          <t>Trưởng nhóm kỹ thuật</t>
        </is>
      </c>
      <c r="C17" s="7" t="n"/>
      <c r="D17" s="10" t="inlineStr">
        <is>
          <t>Phân công, bàn giao, cấu hình quyền nhận ticket &amp; SLA, báo cáo</t>
        </is>
      </c>
      <c r="E17" s="10" t="inlineStr">
        <is>
          <t>Đóng ticket</t>
        </is>
      </c>
      <c r="F17" s="23" t="inlineStr">
        <is>
          <t>11. Tech Lead</t>
        </is>
      </c>
    </row>
    <row r="18">
      <c r="A18" s="22" t="inlineStr">
        <is>
          <t>Marketing</t>
        </is>
      </c>
      <c r="B18" s="10" t="inlineStr">
        <is>
          <t>Marketing</t>
        </is>
      </c>
      <c r="C18" s="7" t="n"/>
      <c r="D18" s="10" t="inlineStr">
        <is>
          <t>Sự kiện, vật phẩm, quỹ Hãng, xử lý yêu cầu quà / chi phí</t>
        </is>
      </c>
      <c r="E18" s="10" t="inlineStr">
        <is>
          <t>Nghiệm thu kết quả yêu cầu Marketing</t>
        </is>
      </c>
      <c r="F18" s="23" t="inlineStr">
        <is>
          <t>12. Marketing</t>
        </is>
      </c>
    </row>
    <row r="19">
      <c r="A19" s="22" t="inlineStr">
        <is>
          <t>Quản trị viên / Admin</t>
        </is>
      </c>
      <c r="B19" s="10" t="inlineStr">
        <is>
          <t>Quản trị hệ thống</t>
        </is>
      </c>
      <c r="C19" s="7" t="n"/>
      <c r="D19" s="10" t="inlineStr">
        <is>
          <t>Nhân viên, tài khoản, vai trò, quyền, quy trình duyệt, cài đặt, sao lưu</t>
        </is>
      </c>
      <c r="E19" s="10" t="inlineStr">
        <is>
          <t>—</t>
        </is>
      </c>
      <c r="F19" s="23" t="inlineStr">
        <is>
          <t>13. Quản trị hệ thống</t>
        </is>
      </c>
    </row>
  </sheetData>
  <mergeCells count="2">
    <mergeCell ref="A2:F2"/>
    <mergeCell ref="A1:F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8"/>
  <sheetViews>
    <sheetView zoomScale="90" workbookViewId="0">
      <pane ySplit="2" topLeftCell="A3" activePane="bottomLeft" state="frozen"/>
      <selection pane="bottomLeft" activeCell="A1" sqref="A1"/>
    </sheetView>
  </sheetViews>
  <sheetFormatPr baseColWidth="8" defaultRowHeight="15"/>
  <cols>
    <col width="8" customWidth="1" min="1" max="1"/>
    <col width="26" customWidth="1" min="2" max="2"/>
    <col width="34" customWidth="1" min="3" max="3"/>
    <col width="52" customWidth="1" min="4" max="4"/>
    <col width="52" customWidth="1" min="5" max="5"/>
  </cols>
  <sheetData>
    <row r="1">
      <c r="A1" s="8" t="inlineStr">
        <is>
          <t>WORKFLOW CHI TIẾT TỪNG PHÒNG BAN – đọc trước khi test</t>
        </is>
      </c>
    </row>
    <row r="3" ht="20" customHeight="1">
      <c r="A3" s="24" t="inlineStr">
        <is>
          <t>PHÒNG KINH DOANH (SALES)</t>
        </is>
      </c>
    </row>
    <row r="4" ht="44" customHeight="1">
      <c r="A4" s="21" t="inlineStr">
        <is>
          <t>Sales là điểm bắt đầu của mọi đơn hàng: tạo khách hàng, báo giá và đơn hàng bán (SO). Từ SO, hệ thống chuyển việc lần lượt sang Admin, Mua hàng, Kho, Kế toán. Sales không tự đặt hàng hay xuất kho, nhưng phải gửi yêu cầu và theo dõi đến khi khách trả đủ tiền.</t>
        </is>
      </c>
    </row>
    <row r="5">
      <c r="A5" s="25" t="inlineStr">
        <is>
          <t>Bước</t>
        </is>
      </c>
      <c r="B5" s="25" t="inlineStr">
        <is>
          <t>Ai làm</t>
        </is>
      </c>
      <c r="C5" s="25" t="inlineStr">
        <is>
          <t>Vào đâu (menu)</t>
        </is>
      </c>
      <c r="D5" s="25" t="inlineStr">
        <is>
          <t>Việc cần làm</t>
        </is>
      </c>
      <c r="E5" s="25" t="inlineStr">
        <is>
          <t>Kết quả / trạng thái / chuyển cho ai</t>
        </is>
      </c>
    </row>
    <row r="6">
      <c r="A6" s="26" t="n">
        <v>1</v>
      </c>
      <c r="B6" s="10" t="inlineStr">
        <is>
          <t>Sales</t>
        </is>
      </c>
      <c r="C6" s="10" t="inlineStr">
        <is>
          <t>Master Data › Khách hàng</t>
        </is>
      </c>
      <c r="D6" s="10" t="inlineStr">
        <is>
          <t>Tạo khách hàng (tên, MST không trùng, ngành, địa chỉ) và ít nhất 1 người liên hệ (P.I.C) có tên, SĐT, email.</t>
        </is>
      </c>
      <c r="E6" s="10" t="inlineStr">
        <is>
          <t>Khách xuất hiện trong ô tìm khách ở Cơ hội, Đăng ký dự án, Báo giá. Đang lập báo giá mà chưa có khách thì dùng nút "Thêm khách hàng nhanh" trên form báo giá.</t>
        </is>
      </c>
    </row>
    <row r="7">
      <c r="A7" s="26" t="n">
        <v>2</v>
      </c>
      <c r="B7" s="10" t="inlineStr">
        <is>
          <t>Sales, người được mời, BOD/Manager, Marketing</t>
        </is>
      </c>
      <c r="C7" s="10" t="inlineStr">
        <is>
          <t>Bán hàng › Cơ hội</t>
        </is>
      </c>
      <c r="D7" s="10" t="inlineStr">
        <is>
          <t>Ghi nhận hoạt động gặp khách (gặp, demo, trình bày giải pháp...), mức tiềm năng 25–90%, mời người tham gia; khai quà tặng nếu cần, tạo ticket Kỹ thuật nếu cần kỹ sư đi cùng.</t>
        </is>
      </c>
      <c r="E7" s="10" t="inlineStr">
        <is>
          <t>Nháp → Đã lên lịch → Đã xác nhận → Đang thực hiện → Đã hoàn thành (hoặc Hoãn / Hủy). Chỉ hoàn thành được khi BOD đã xác nhận và ticket MKT/Kỹ thuật đi kèm đã xong. Cơ hội chín muồi → chuyển thành dự án.</t>
        </is>
      </c>
    </row>
    <row r="8">
      <c r="A8" s="26" t="n">
        <v>3</v>
      </c>
      <c r="B8" s="10" t="inlineStr">
        <is>
          <t>Sales → PM/PO Team</t>
        </is>
      </c>
      <c r="C8" s="10" t="inlineStr">
        <is>
          <t>Bán hàng › Đăng ký dự án</t>
        </is>
      </c>
      <c r="D8" s="10" t="inlineStr">
        <is>
          <t>Đăng ký dự án với Hãng: khách, Hãng, BOM hoặc file BOM (bắt buộc), giá trị dự kiến; dự án Fortinet nhập thêm Net to FTN.</t>
        </is>
      </c>
      <c r="E8" s="10" t="inlineStr">
        <is>
          <t>Mới đăng ký → Đang xử lý tiếp nhận → Đã gửi Hãng → Hãng đã báo giá/duyệt → Đã đăng ký – Đang theo đuổi → Closed Won / Lost. Nhánh: Thiếu thông tin, Dự án trùng, Hãng từ chối.</t>
        </is>
      </c>
    </row>
    <row r="9">
      <c r="A9" s="26" t="n">
        <v>4</v>
      </c>
      <c r="B9" s="10" t="inlineStr">
        <is>
          <t>Sales</t>
        </is>
      </c>
      <c r="C9" s="10" t="inlineStr">
        <is>
          <t>Bán hàng › Báo giá › Tạo mới</t>
        </is>
      </c>
      <c r="D9" s="10" t="inlineStr">
        <is>
          <t>Nhập khách + P.I.C, dự án (nếu có, tải nhanh BOM), tiêu đề, ngày &amp; hạn báo giá, sản phẩm, số lượng, đơn giá, chiết khấu, VAT, tiền tệ, điều khoản. Gửi khách bằng PDF / Excel / email.</t>
        </is>
      </c>
      <c r="E9" s="10" t="inlineStr">
        <is>
          <t>Nháp → Đã gửi khách → KH chốt giá (hoặc Khách từ chối). Quá hạn chưa chốt → Hết hạn, muốn báo lại thì Nhân bản.</t>
        </is>
      </c>
    </row>
    <row r="10">
      <c r="A10" s="26" t="n">
        <v>5</v>
      </c>
      <c r="B10" s="10" t="inlineStr">
        <is>
          <t>Sales</t>
        </is>
      </c>
      <c r="C10" s="10" t="inlineStr">
        <is>
          <t>Báo giá › Chuyển đơn hàng</t>
        </is>
      </c>
      <c r="D10" s="10" t="inlineStr">
        <is>
          <t>Trên báo giá đã chốt, bấm Chuyển đơn hàng.</t>
        </is>
      </c>
      <c r="E10" s="10" t="inlineStr">
        <is>
          <t>Sinh SO mã SO-YYYYMMDD-xxxx mang theo khách, sản phẩm, giá. Có dự án → "Bán theo dự án", không → "Bán lẻ". Báo giá bị khóa.</t>
        </is>
      </c>
    </row>
    <row r="11">
      <c r="A11" s="26" t="n">
        <v>6</v>
      </c>
      <c r="B11" s="10" t="inlineStr">
        <is>
          <t>Sales → Legal (cấp 1) → BOD (cấp 2)</t>
        </is>
      </c>
      <c r="C11" s="10" t="inlineStr">
        <is>
          <t>Bán hàng › Đơn hàng bán › mở SO</t>
        </is>
      </c>
      <c r="D11" s="10" t="inlineStr">
        <is>
          <t>Lập P&amp;L (giá vốn, chi phí, margin), tiến độ thanh toán (đợt trước đặt hàng / trước xuất hàng / sau giao hàng), P.I.C phụ; bấm Gửi duyệt P&amp;L.</t>
        </is>
      </c>
      <c r="E11" s="10" t="inlineStr">
        <is>
          <t>P&amp;L: Nháp → Chờ duyệt (Legal cấp 1 → BOD cấp 2) → Đã duyệt (hoặc Yêu cầu chỉnh sửa / Từ chối ở cấp nào cũng được). Sau khi gửi, SO bị khóa; muốn sửa đơn đã duyệt phải xin mở lại P&amp;L.</t>
        </is>
      </c>
    </row>
    <row r="12">
      <c r="A12" s="26" t="n">
        <v>7</v>
      </c>
      <c r="B12" s="10" t="inlineStr">
        <is>
          <t>Sales → Admin → PO Team</t>
        </is>
      </c>
      <c r="C12" s="10" t="inlineStr">
        <is>
          <t>SO › Tạo yêu cầu đặt hàng (danh sách: Bán hàng › Yêu cầu đặt hàng)</t>
        </is>
      </c>
      <c r="D12" s="10" t="inlineStr">
        <is>
          <t>Nhập Hãng, loại đơn, dòng cần đặt, POS-ID, End User (nếu cần CQ), S/N (Trade-up), file đính kèm bắt buộc. Hàng có sẵn ở Kho runrate thì tạo yêu cầu giữ hàng thay vì đặt.</t>
        </is>
      </c>
      <c r="E12" s="10" t="inlineStr">
        <is>
          <t>Bản nháp → Chờ Admin duyệt (Admin kiểm hồ sơ) → Đã gửi → Đang xử lý → Hoàn thành. Có thể bị trả về "Thiếu thông tin" hoặc trả về sửa P&amp;L.</t>
        </is>
      </c>
    </row>
    <row r="13">
      <c r="A13" s="26" t="n">
        <v>8</v>
      </c>
      <c r="B13" s="10" t="inlineStr">
        <is>
          <t>Sales</t>
        </is>
      </c>
      <c r="C13" s="10" t="inlineStr">
        <is>
          <t>Bán hàng › Theo dõi hàng về</t>
        </is>
      </c>
      <c r="D13" s="10" t="inlineStr">
        <is>
          <t>Theo dõi tiến độ đặt hàng và hàng về; tải license nếu có.</t>
        </is>
      </c>
      <c r="E13" s="10" t="inlineStr">
        <is>
          <t>Chờ đặt hàng → Đã đặt hàng → Chờ hàng về (ETD, ETA) → Hàng đã về. PO bị Hold thì Sales nhận thông báo kèm lý do.</t>
        </is>
      </c>
    </row>
    <row r="14">
      <c r="A14" s="26" t="n">
        <v>9</v>
      </c>
      <c r="B14" s="10" t="inlineStr">
        <is>
          <t>Sales → Admin → Kế toán → Kho</t>
        </is>
      </c>
      <c r="C14" s="10" t="inlineStr">
        <is>
          <t>SO</t>
        </is>
      </c>
      <c r="D14" s="10" t="inlineStr">
        <is>
          <t>Tạo yêu cầu xuất hóa đơn (chọn cần HĐ nháp hay xuất trực tiếp); gửi đề xuất xuất kho (được xuất một phần); cập nhật ngày giao hàng.</t>
        </is>
      </c>
      <c r="E14" s="10" t="inlineStr">
        <is>
          <t>Phiếu xuất: Chờ Admin duyệt xuất → Chờ KT xuất HĐ → Kho xuất thực tế. Ngày giao là mốc tính hạn các đợt "sau giao hàng".</t>
        </is>
      </c>
    </row>
    <row r="15">
      <c r="A15" s="26" t="n">
        <v>10</v>
      </c>
      <c r="B15" s="10" t="inlineStr">
        <is>
          <t>Sales → Kế toán (BOD nếu ngoại lệ)</t>
        </is>
      </c>
      <c r="C15" s="10" t="inlineStr">
        <is>
          <t>SO › Tiến độ thanh toán</t>
        </is>
      </c>
      <c r="D15" s="10" t="inlineStr">
        <is>
          <t>Upload UNC cho từng đợt khi khách chuyển khoản; xin duyệt ngoại lệ nếu khách muốn đặt/xuất trước khi trả.</t>
        </is>
      </c>
      <c r="E15" s="10" t="inlineStr">
        <is>
          <t>Kế toán xác nhận → đợt Đã thanh toán, công nợ giảm, bước bị khóa được mở. Giao đủ + HĐ đủ + thu đủ → SO Hoàn thành.</t>
        </is>
      </c>
    </row>
    <row r="16">
      <c r="A16" s="26" t="n">
        <v>11</v>
      </c>
      <c r="B16" s="10" t="inlineStr">
        <is>
          <t>Mọi nhân viên</t>
        </is>
      </c>
      <c r="C16" s="10" t="inlineStr">
        <is>
          <t>Bán hàng › Đặt phòng họp</t>
        </is>
      </c>
      <c r="D16" s="10" t="inlineStr">
        <is>
          <t>Chọn phòng, ngày, giờ, tiêu đề, người tham dự.</t>
        </is>
      </c>
      <c r="E16" s="10" t="inlineStr">
        <is>
          <t>Người được mời nhận lời mời và phản hồi; hệ thống chặn đặt trùng giờ.</t>
        </is>
      </c>
    </row>
    <row r="17">
      <c r="A17" s="26" t="n">
        <v>12</v>
      </c>
      <c r="B17" s="10" t="inlineStr">
        <is>
          <t>Sales / Sales Manager</t>
        </is>
      </c>
      <c r="C17" s="10" t="inlineStr">
        <is>
          <t>Bán hàng › Báo cáo tần suất gặp, Báo cáo bán hàng, Công nợ khách hàng</t>
        </is>
      </c>
      <c r="D17" s="10" t="inlineStr">
        <is>
          <t>Xem số lần gặp khách theo Sales, doanh thu / margin theo kỳ, công nợ khách của mình.</t>
        </is>
      </c>
      <c r="E17" s="10" t="inlineStr">
        <is>
          <t>Số liệu khớp cơ hội và đơn hàng thực tế.</t>
        </is>
      </c>
    </row>
    <row r="19" ht="20" customHeight="1">
      <c r="A19" s="24" t="inlineStr">
        <is>
          <t>SALES MANAGER (TRƯỞNG PHÒNG KINH DOANH)</t>
        </is>
      </c>
    </row>
    <row r="20" ht="44" customHeight="1">
      <c r="A20" s="21" t="inlineStr">
        <is>
          <t>Sales Manager quản lý một nhóm Sales: xem toàn bộ dữ liệu của nhóm, xác nhận hoạt động gặp khách, phân P.I.C phụ và tỷ lệ chia margin, rà P&amp;L và gửi duyệt thay Sales, đôn đốc công nợ. Sales Manager KHÔNG duyệt P&amp;L — P&amp;L do Legal (cấp 1) rồi BOD (cấp 2) duyệt. Theo code, Sales Manager cũng được duyệt yêu cầu đặt hàng như Admin.</t>
        </is>
      </c>
    </row>
    <row r="21">
      <c r="A21" s="25" t="inlineStr">
        <is>
          <t>Bước</t>
        </is>
      </c>
      <c r="B21" s="25" t="inlineStr">
        <is>
          <t>Ai làm</t>
        </is>
      </c>
      <c r="C21" s="25" t="inlineStr">
        <is>
          <t>Vào đâu (menu)</t>
        </is>
      </c>
      <c r="D21" s="25" t="inlineStr">
        <is>
          <t>Việc cần làm</t>
        </is>
      </c>
      <c r="E21" s="25" t="inlineStr">
        <is>
          <t>Kết quả / trạng thái / chuyển cho ai</t>
        </is>
      </c>
    </row>
    <row r="22">
      <c r="A22" s="26" t="n">
        <v>1</v>
      </c>
      <c r="B22" s="10" t="inlineStr">
        <is>
          <t>Sales Manager</t>
        </is>
      </c>
      <c r="C22" s="10" t="inlineStr">
        <is>
          <t>Master Data › Khách hàng; Bán hàng › Cơ hội, Báo giá, Đơn hàng bán</t>
        </is>
      </c>
      <c r="D22" s="10" t="inlineStr">
        <is>
          <t>Mở các danh sách để theo dõi công việc của nhóm.</t>
        </is>
      </c>
      <c r="E22" s="10" t="inlineStr">
        <is>
          <t>Thấy dữ liệu của mình và thành viên nhóm; không thấy nhóm khác.</t>
        </is>
      </c>
    </row>
    <row r="23">
      <c r="A23" s="26" t="n">
        <v>2</v>
      </c>
      <c r="B23" s="10" t="inlineStr">
        <is>
          <t>Sales → Sales Manager</t>
        </is>
      </c>
      <c r="C23" s="10" t="inlineStr">
        <is>
          <t>Bán hàng › Cơ hội</t>
        </is>
      </c>
      <c r="D23" s="10" t="inlineStr">
        <is>
          <t>Xác nhận hoạt động gặp khách (chuyển sang "Đã xác nhận"); khi xác nhận có thể chọn kỹ sư đi cùng, duyệt / từ chối quà và xuất vật phẩm MKT.</t>
        </is>
      </c>
      <c r="E23" s="10" t="inlineStr">
        <is>
          <t>Mọi hoạt động phải được xác nhận mới Hoàn thành được; hoạt động trình bày giải pháp / cần kỹ sư / có quà còn phải xác nhận trước khi chuyển Đang thực hiện.</t>
        </is>
      </c>
    </row>
    <row r="24">
      <c r="A24" s="26" t="n">
        <v>3</v>
      </c>
      <c r="B24" s="10" t="inlineStr">
        <is>
          <t>Sales Manager</t>
        </is>
      </c>
      <c r="C24" s="10" t="inlineStr">
        <is>
          <t>Bán hàng › Đăng ký dự án; Đơn hàng bán</t>
        </is>
      </c>
      <c r="D24" s="10" t="inlineStr">
        <is>
          <t>Chỉ định P.I.C phụ cho dự án (Sales Manager cùng phòng ban với Sales phụ trách dự án) và cho đơn hàng (chọn cách chia margin: người chính 100% / người phụ 100% / chia theo %).</t>
        </is>
      </c>
      <c r="E24" s="10" t="inlineStr">
        <is>
          <t>P.I.C phụ nhận thông báo; margin đơn hàng chia đúng cách đã chọn.</t>
        </is>
      </c>
    </row>
    <row r="25">
      <c r="A25" s="26" t="n">
        <v>4</v>
      </c>
      <c r="B25" s="10" t="inlineStr">
        <is>
          <t>Sales Manager → Legal → BOD</t>
        </is>
      </c>
      <c r="C25" s="10" t="inlineStr">
        <is>
          <t>Đơn hàng bán › P&amp;L</t>
        </is>
      </c>
      <c r="D25" s="10" t="inlineStr">
        <is>
          <t>Rà giá vốn, chi phí, margin, tiến độ thanh toán của đơn trong nhóm; gửi duyệt thay Sales khi cần; theo dõi đơn đang chờ cấp nào.</t>
        </is>
      </c>
      <c r="E25" s="10" t="inlineStr">
        <is>
          <t>P&amp;L sang "Chờ duyệt" cấp 1 (Legal).</t>
        </is>
      </c>
    </row>
    <row r="26">
      <c r="A26" s="26" t="n">
        <v>5</v>
      </c>
      <c r="B26" s="10" t="inlineStr">
        <is>
          <t>Sales → Sales Manager → PO Team</t>
        </is>
      </c>
      <c r="C26" s="10" t="inlineStr">
        <is>
          <t>SO › Yêu cầu đặt hàng ("Chờ Admin duyệt")</t>
        </is>
      </c>
      <c r="D26" s="10" t="inlineStr">
        <is>
          <t>Nếu công ty giao Sales Manager duyệt: kiểm tra hồ sơ như Admin (xem sheet Admin duyệt đơn) rồi duyệt hoặc trả về.</t>
        </is>
      </c>
      <c r="E26" s="10" t="inlineStr">
        <is>
          <t>Duyệt → "Đã gửi" sang PO Team; trả về → Sales nhận lý do.</t>
        </is>
      </c>
    </row>
    <row r="27">
      <c r="A27" s="26" t="n">
        <v>6</v>
      </c>
      <c r="B27" s="10" t="inlineStr">
        <is>
          <t>Sales Manager</t>
        </is>
      </c>
      <c r="C27" s="10" t="inlineStr">
        <is>
          <t>SO › Tiến độ thanh toán; Bán hàng › Công nợ khách hàng</t>
        </is>
      </c>
      <c r="D27" s="10" t="inlineStr">
        <is>
          <t>Upload UNC thay Sales; lọc nợ quá hạn của nhóm, giao Sales bám khách; xin ngoại lệ thanh toán khi cần.</t>
        </is>
      </c>
      <c r="E27" s="10" t="inlineStr">
        <is>
          <t>Kế toán nhận UNC; công nợ nhóm hiển thị đúng.</t>
        </is>
      </c>
    </row>
    <row r="28">
      <c r="A28" s="26" t="n">
        <v>7</v>
      </c>
      <c r="B28" s="10" t="inlineStr">
        <is>
          <t>Sales Manager</t>
        </is>
      </c>
      <c r="C28" s="10" t="inlineStr">
        <is>
          <t>Bán hàng › Báo cáo tần suất gặp, Báo cáo bán hàng; Dashboard</t>
        </is>
      </c>
      <c r="D28" s="10" t="inlineStr">
        <is>
          <t>Theo dõi số lần gặp khách, doanh thu, margin của từng người trong nhóm.</t>
        </is>
      </c>
      <c r="E28" s="10" t="inlineStr">
        <is>
          <t>Số liệu khớp dữ liệu thực tế của nhóm.</t>
        </is>
      </c>
    </row>
    <row r="30" ht="20" customHeight="1">
      <c r="A30" s="24" t="inlineStr">
        <is>
          <t>LEGAL TEAM (PHÁP CHẾ) – DUYỆT CẤP 1 HỢP ĐỒNG &amp; P&amp;L</t>
        </is>
      </c>
    </row>
    <row r="31" ht="44" customHeight="1">
      <c r="A31" s="21" t="inlineStr">
        <is>
          <t>Legal là cấp duyệt 1 của mọi đơn hàng bán, trước BOD. Legal kiểm tra hợp đồng mua bán (HĐMB) và bảng P&amp;L, rồi duyệt, yêu cầu Sales chỉnh sửa, hoặc từ chối. Legal không sửa đơn. Quy trình cấu hình ở Hệ thống › Quy trình duyệt: "Quy trình duyệt P&amp;L &amp; Hợp đồng bán hàng" – Cấp 1 Legal Team → Cấp 2 BOD.</t>
        </is>
      </c>
    </row>
    <row r="32">
      <c r="A32" s="25" t="inlineStr">
        <is>
          <t>Bước</t>
        </is>
      </c>
      <c r="B32" s="25" t="inlineStr">
        <is>
          <t>Ai làm</t>
        </is>
      </c>
      <c r="C32" s="25" t="inlineStr">
        <is>
          <t>Vào đâu (menu)</t>
        </is>
      </c>
      <c r="D32" s="25" t="inlineStr">
        <is>
          <t>Việc cần làm</t>
        </is>
      </c>
      <c r="E32" s="25" t="inlineStr">
        <is>
          <t>Kết quả / trạng thái / chuyển cho ai</t>
        </is>
      </c>
    </row>
    <row r="33">
      <c r="A33" s="26" t="n">
        <v>1</v>
      </c>
      <c r="B33" s="10" t="inlineStr">
        <is>
          <t>Sales → Legal</t>
        </is>
      </c>
      <c r="C33" s="10" t="inlineStr">
        <is>
          <t>Chuông thông báo; Bán hàng › Đơn hàng bán (lọc Chờ duyệt)</t>
        </is>
      </c>
      <c r="D33" s="10" t="inlineStr">
        <is>
          <t>Nhận đơn Sales vừa gửi duyệt P&amp;L.</t>
        </is>
      </c>
      <c r="E33" s="10" t="inlineStr">
        <is>
          <t>Đơn ở cấp 1 – Legal.</t>
        </is>
      </c>
    </row>
    <row r="34">
      <c r="A34" s="26" t="n">
        <v>2</v>
      </c>
      <c r="B34" s="10" t="inlineStr">
        <is>
          <t>Legal</t>
        </is>
      </c>
      <c r="C34" s="10" t="inlineStr">
        <is>
          <t>SO › thông tin đơn, file đính kèm, tab P&amp;L</t>
        </is>
      </c>
      <c r="D34" s="10" t="inlineStr">
        <is>
          <t>Kiểm tra: pháp nhân khách (tên, MST, địa chỉ); số HĐMB; điều khoản thanh toán khớp tiến độ thanh toán trên SO; phạt vi phạm, bảo hành; file hợp đồng / PO của khách đã đính kèm; P&amp;L (giá vốn, chi phí, chiết khấu, margin) hợp lý.</t>
        </is>
      </c>
      <c r="E34" s="10" t="inlineStr">
        <is>
          <t>Đủ cơ sở để quyết định.</t>
        </is>
      </c>
    </row>
    <row r="35">
      <c r="A35" s="26" t="n">
        <v>3</v>
      </c>
      <c r="B35" s="10" t="inlineStr">
        <is>
          <t>Legal → BOD / Sales</t>
        </is>
      </c>
      <c r="C35" s="10" t="inlineStr">
        <is>
          <t>SO › Duyệt / Yêu cầu chỉnh sửa / Từ chối (kèm ghi chú)</t>
        </is>
      </c>
      <c r="D35" s="10" t="inlineStr">
        <is>
          <t>Ra quyết định cấp 1.</t>
        </is>
      </c>
      <c r="E35" s="10" t="inlineStr">
        <is>
          <t>Duyệt → chuyển BOD duyệt cấp 2. Yêu cầu chỉnh sửa → P&amp;L mở lại cho Sales. Từ chối → P&amp;L Từ chối.</t>
        </is>
      </c>
    </row>
    <row r="36">
      <c r="A36" s="26" t="n">
        <v>4</v>
      </c>
      <c r="B36" s="10" t="inlineStr">
        <is>
          <t>Legal</t>
        </is>
      </c>
      <c r="C36" s="10" t="inlineStr">
        <is>
          <t>SO › Lịch sử duyệt</t>
        </is>
      </c>
      <c r="D36" s="10" t="inlineStr">
        <is>
          <t>Theo dõi đơn đã duyệt; đơn Sales sửa xong gửi lại sẽ quay về cấp 1.</t>
        </is>
      </c>
      <c r="E36" s="10" t="inlineStr">
        <is>
          <t>Lịch sử ghi đủ các lần duyệt.</t>
        </is>
      </c>
    </row>
    <row r="38" ht="20" customHeight="1">
      <c r="A38" s="24" t="inlineStr">
        <is>
          <t>BAN GIÁM ĐỐC (DIRECTOR)</t>
        </is>
      </c>
    </row>
    <row r="39" ht="44" customHeight="1">
      <c r="A39" s="21" t="inlineStr">
        <is>
          <t>BOD là cấp duyệt cuối: duyệt P&amp;L cấp 2 sau Legal, quyết định ngoại lệ thanh toán (cho đặt hàng / xuất hàng khi khách chưa trả), mở lại P&amp;L đã duyệt, duyệt các khoản chi Marketing. BOD theo dõi kinh doanh qua Dashboard.</t>
        </is>
      </c>
    </row>
    <row r="40">
      <c r="A40" s="25" t="inlineStr">
        <is>
          <t>Bước</t>
        </is>
      </c>
      <c r="B40" s="25" t="inlineStr">
        <is>
          <t>Ai làm</t>
        </is>
      </c>
      <c r="C40" s="25" t="inlineStr">
        <is>
          <t>Vào đâu (menu)</t>
        </is>
      </c>
      <c r="D40" s="25" t="inlineStr">
        <is>
          <t>Việc cần làm</t>
        </is>
      </c>
      <c r="E40" s="25" t="inlineStr">
        <is>
          <t>Kết quả / trạng thái / chuyển cho ai</t>
        </is>
      </c>
    </row>
    <row r="41">
      <c r="A41" s="26" t="n">
        <v>1</v>
      </c>
      <c r="B41" s="10" t="inlineStr">
        <is>
          <t>Legal → BOD</t>
        </is>
      </c>
      <c r="C41" s="10" t="inlineStr">
        <is>
          <t>Chuông thông báo; SO</t>
        </is>
      </c>
      <c r="D41" s="10" t="inlineStr">
        <is>
          <t>Xem đơn Legal đã duyệt cấp 1, duyệt / yêu cầu sửa / từ chối.</t>
        </is>
      </c>
      <c r="E41" s="10" t="inlineStr">
        <is>
          <t>Duyệt → P&amp;L Đã duyệt, mở khóa tạo yêu cầu đặt hàng.</t>
        </is>
      </c>
    </row>
    <row r="42">
      <c r="A42" s="26" t="n">
        <v>2</v>
      </c>
      <c r="B42" s="10" t="inlineStr">
        <is>
          <t>Sales → BOD</t>
        </is>
      </c>
      <c r="C42" s="10" t="inlineStr">
        <is>
          <t>SO › Tiến độ thanh toán</t>
        </is>
      </c>
      <c r="D42" s="10" t="inlineStr">
        <is>
          <t>Duyệt ngoại lệ toàn đơn hoặc từng đợt; hoặc ủy quyền cho người khác duyệt, thu hồi ủy quyền.</t>
        </is>
      </c>
      <c r="E42" s="10" t="inlineStr">
        <is>
          <t>Bước bị khóa (đặt hàng / xuất hàng) được mở.</t>
        </is>
      </c>
    </row>
    <row r="43">
      <c r="A43" s="26" t="n">
        <v>3</v>
      </c>
      <c r="B43" s="10" t="inlineStr">
        <is>
          <t>Sales → BOD</t>
        </is>
      </c>
      <c r="C43" s="10" t="inlineStr">
        <is>
          <t>SO › Yêu cầu mở lại P&amp;L</t>
        </is>
      </c>
      <c r="D43" s="10" t="inlineStr">
        <is>
          <t>Duyệt hoặc từ chối yêu cầu mở lại P&amp;L đã duyệt.</t>
        </is>
      </c>
      <c r="E43" s="10" t="inlineStr">
        <is>
          <t>Duyệt → P&amp;L mở cho Sales sửa.</t>
        </is>
      </c>
    </row>
    <row r="44">
      <c r="A44" s="26" t="n">
        <v>4</v>
      </c>
      <c r="B44" s="10" t="inlineStr">
        <is>
          <t>Sales / Marketing / OM → BOD</t>
        </is>
      </c>
      <c r="C44" s="10" t="inlineStr">
        <is>
          <t>Bán hàng › Cơ hội, Sự kiện Marketing, Kho vật phẩm MKT</t>
        </is>
      </c>
      <c r="D44" s="10" t="inlineStr">
        <is>
          <t>Xác nhận hoạt động, duyệt quà tặng; duyệt ngân sách sự kiện cấp 2 (sau Order Management cấp 1); duyệt vật phẩm mới, chi phí, công tác.</t>
        </is>
      </c>
      <c r="E44" s="10" t="inlineStr">
        <is>
          <t>Marketing / Kế toán được làm bước tiếp theo.</t>
        </is>
      </c>
    </row>
    <row r="45">
      <c r="A45" s="26" t="n">
        <v>5</v>
      </c>
      <c r="B45" s="10" t="inlineStr">
        <is>
          <t>BOD</t>
        </is>
      </c>
      <c r="C45" s="10" t="inlineStr">
        <is>
          <t>Dashboard; Báo cáo bán hàng, mua hàng, tần suất gặp; Đăng ký dự án › báo cáo</t>
        </is>
      </c>
      <c r="D45" s="10" t="inlineStr">
        <is>
          <t>Lọc kỳ / phòng / nhân viên, bấm số để xem chi tiết.</t>
        </is>
      </c>
      <c r="E45" s="10" t="inlineStr">
        <is>
          <t>Số liệu khớp danh sách gốc.</t>
        </is>
      </c>
    </row>
    <row r="46">
      <c r="A46" s="26" t="n">
        <v>6</v>
      </c>
      <c r="B46" s="10" t="inlineStr">
        <is>
          <t>BOD</t>
        </is>
      </c>
      <c r="C46" s="10" t="inlineStr">
        <is>
          <t>Bán hàng › Tổng Doanh Số</t>
        </is>
      </c>
      <c r="D46" s="10" t="inlineStr">
        <is>
          <t>Rà soát, xóa dòng sai.</t>
        </is>
      </c>
      <c r="E46" s="10" t="inlineStr">
        <is>
          <t>Chỉ BOD xóa được.</t>
        </is>
      </c>
    </row>
    <row r="48" ht="20" customHeight="1">
      <c r="A48" s="24" t="inlineStr">
        <is>
          <t>ADMIN KIỂM SOÁT ĐƠN HÀNG – DUYỆT YÊU CẦU ĐẶT HÀNG &amp; ĐỀ XUẤT XUẤT KHO</t>
        </is>
      </c>
    </row>
    <row r="49" ht="44" customHeight="1">
      <c r="A49" s="21" t="inlineStr">
        <is>
          <t>Admin là chốt kiểm tra hồ sơ ở hai khâu. Khâu đặt hàng: trước khi PO Team đặt Hãng, Admin xác nhận đơn đã duyệt P&amp;L và đủ giấy tờ (hợp đồng / PO khách, BOM, thông tin End User…). Khâu xuất hàng: trước khi Kho giao, Admin xác nhận hàng đã đủ, khách đã thanh toán đúng điều kiện và giấy tờ giao hàng đã sẵn sàng. Thiếu gì thì trả về cho Sales kèm lý do cụ thể.</t>
        </is>
      </c>
    </row>
    <row r="50">
      <c r="A50" s="25" t="inlineStr">
        <is>
          <t>Bước</t>
        </is>
      </c>
      <c r="B50" s="25" t="inlineStr">
        <is>
          <t>Ai làm</t>
        </is>
      </c>
      <c r="C50" s="25" t="inlineStr">
        <is>
          <t>Vào đâu (menu)</t>
        </is>
      </c>
      <c r="D50" s="25" t="inlineStr">
        <is>
          <t>Việc cần làm</t>
        </is>
      </c>
      <c r="E50" s="25" t="inlineStr">
        <is>
          <t>Kết quả / trạng thái / chuyển cho ai</t>
        </is>
      </c>
    </row>
    <row r="51">
      <c r="A51" s="26" t="n">
        <v>1</v>
      </c>
      <c r="B51" s="10" t="inlineStr">
        <is>
          <t>Sales → Admin</t>
        </is>
      </c>
      <c r="C51" s="10" t="inlineStr">
        <is>
          <t>Chuông thông báo, badge; SO › Yêu cầu đặt hàng ("Chờ Admin duyệt")</t>
        </is>
      </c>
      <c r="D51" s="10" t="inlineStr">
        <is>
          <t>Nhận yêu cầu đặt hàng Sales vừa gửi.</t>
        </is>
      </c>
      <c r="E51" s="10" t="inlineStr">
        <is>
          <t>Yêu cầu ở trạng thái Chờ Admin duyệt.</t>
        </is>
      </c>
    </row>
    <row r="52">
      <c r="A52" s="26" t="n">
        <v>2</v>
      </c>
      <c r="B52" s="10" t="inlineStr">
        <is>
          <t>Admin</t>
        </is>
      </c>
      <c r="C52" s="10" t="inlineStr">
        <is>
          <t>Yêu cầu đặt hàng</t>
        </is>
      </c>
      <c r="D52" s="10" t="inlineStr">
        <is>
          <t>Kiểm tra: P&amp;L đã duyệt đủ Legal + BOD; file đính kèm (hợp đồng / PO / đơn đặt hàng của khách) đủ và khớp; mã SP, số lượng khớp SO; Hãng, loại đơn; End User (tên, MST) khi cần CQ; POS-ID; S/N với đơn Trade-up; đợt thanh toán trước đặt hàng (nếu có).</t>
        </is>
      </c>
      <c r="E52" s="10" t="inlineStr">
        <is>
          <t>Biết hồ sơ đủ hay thiếu, thiếu ở đâu.</t>
        </is>
      </c>
    </row>
    <row r="53">
      <c r="A53" s="26" t="n">
        <v>3</v>
      </c>
      <c r="B53" s="10" t="inlineStr">
        <is>
          <t>Admin → PO Team / Sales</t>
        </is>
      </c>
      <c r="C53" s="10" t="inlineStr">
        <is>
          <t>Yêu cầu đặt hàng › Duyệt / Trả về</t>
        </is>
      </c>
      <c r="D53" s="10" t="inlineStr">
        <is>
          <t>Đủ → Duyệt. Thiếu giấy tờ → trả về "Thiếu thông tin" ghi rõ thiếu gì. Sai giá vốn / chi phí → trả về để chỉnh P&amp;L.</t>
        </is>
      </c>
      <c r="E53" s="10" t="inlineStr">
        <is>
          <t>Duyệt: "Đã gửi", PO Team nhận. Trả về: Sales nhận lý do.</t>
        </is>
      </c>
    </row>
    <row r="54">
      <c r="A54" s="26" t="n">
        <v>4</v>
      </c>
      <c r="B54" s="10" t="inlineStr">
        <is>
          <t>Sales → Admin</t>
        </is>
      </c>
      <c r="C54" s="10" t="inlineStr">
        <is>
          <t>Kho hàng › Xuất kho ("Chờ Admin duyệt xuất")</t>
        </is>
      </c>
      <c r="D54" s="10" t="inlineStr">
        <is>
          <t>Nhận đề xuất xuất kho Sales gửi từ SO.</t>
        </is>
      </c>
      <c r="E54" s="10" t="inlineStr">
        <is>
          <t>Kho đồng thời được báo chuẩn bị hàng.</t>
        </is>
      </c>
    </row>
    <row r="55">
      <c r="A55" s="26" t="n">
        <v>5</v>
      </c>
      <c r="B55" s="10" t="inlineStr">
        <is>
          <t>Admin</t>
        </is>
      </c>
      <c r="C55" s="10" t="inlineStr">
        <is>
          <t>Phiếu xuất kho; SO</t>
        </is>
      </c>
      <c r="D55" s="10" t="inlineStr">
        <is>
          <t>Kiểm tra: hàng đã về đủ; model, số lượng khớp SO; đợt thanh toán trước xuất đã được Kế toán xác nhận (hệ thống tự chặn nếu chưa); hàng runrate đã giữ đủ suất; ngày / địa chỉ giao; biên bản và giấy tờ giao hàng.</t>
        </is>
      </c>
      <c r="E55" s="10" t="inlineStr">
        <is>
          <t>Biết phiếu đủ điều kiện xuất hay chưa.</t>
        </is>
      </c>
    </row>
    <row r="56">
      <c r="A56" s="26" t="n">
        <v>6</v>
      </c>
      <c r="B56" s="10" t="inlineStr">
        <is>
          <t>Admin → Kế toán / Kho / Sales</t>
        </is>
      </c>
      <c r="C56" s="10" t="inlineStr">
        <is>
          <t>Phiếu xuất › Duyệt / Từ chối</t>
        </is>
      </c>
      <c r="D56" s="10" t="inlineStr">
        <is>
          <t>Đủ → Duyệt. Chưa đủ → Từ chối kèm lý do.</t>
        </is>
      </c>
      <c r="E56" s="10" t="inlineStr">
        <is>
          <t>Chưa có HĐ chính thức: "Chờ KT xuất hóa đơn". Đã có HĐ: Kho xuất thực tế. Từ chối: phiếu về Bản nháp.</t>
        </is>
      </c>
    </row>
    <row r="58" ht="20" customHeight="1">
      <c r="A58" s="24" t="inlineStr">
        <is>
          <t>ORDER MANAGEMENT – QUẢN LÝ ĐƠN HÀNG &amp; ĐIỀU PHỐI PO TEAM</t>
        </is>
      </c>
    </row>
    <row r="59" ht="44" customHeight="1">
      <c r="A59" s="21" t="inlineStr">
        <is>
          <t>Order Management (chị Bích) kiểm soát đơn hàng từ lúc Sales xin đặt hàng đến lúc xuất hàng, đồng thời điều phối PO Team. Vai trò này duyệt yêu cầu đặt hàng như Admin, tiếp nhận yêu cầu để PO Team gom đơn đặt Hãng, duyệt PO, duyệt đề xuất xuất kho và duyệt ngân sách Marketing cấp 1. Order Management xem được toàn bộ báo giá và đơn hàng của công ty.</t>
        </is>
      </c>
    </row>
    <row r="60">
      <c r="A60" s="25" t="inlineStr">
        <is>
          <t>Bước</t>
        </is>
      </c>
      <c r="B60" s="25" t="inlineStr">
        <is>
          <t>Ai làm</t>
        </is>
      </c>
      <c r="C60" s="25" t="inlineStr">
        <is>
          <t>Vào đâu (menu)</t>
        </is>
      </c>
      <c r="D60" s="25" t="inlineStr">
        <is>
          <t>Việc cần làm</t>
        </is>
      </c>
      <c r="E60" s="25" t="inlineStr">
        <is>
          <t>Kết quả / trạng thái / chuyển cho ai</t>
        </is>
      </c>
    </row>
    <row r="61">
      <c r="A61" s="26" t="n">
        <v>1</v>
      </c>
      <c r="B61" s="10" t="inlineStr">
        <is>
          <t>Order Management</t>
        </is>
      </c>
      <c r="C61" s="10" t="inlineStr">
        <is>
          <t>Bán hàng › Đơn hàng bán, Báo giá, Theo dõi hàng về</t>
        </is>
      </c>
      <c r="D61" s="10" t="inlineStr">
        <is>
          <t>Theo dõi đơn đang chờ duyệt P&amp;L, chờ đặt hàng, chờ hàng về, chờ xuất.</t>
        </is>
      </c>
      <c r="E61" s="10" t="inlineStr">
        <is>
          <t>Thấy toàn bộ đơn của công ty.</t>
        </is>
      </c>
    </row>
    <row r="62">
      <c r="A62" s="26" t="n">
        <v>2</v>
      </c>
      <c r="B62" s="10" t="inlineStr">
        <is>
          <t>Sales → Order Management</t>
        </is>
      </c>
      <c r="C62" s="10" t="inlineStr">
        <is>
          <t>Mua hàng › Duyệt yêu cầu (PR) (lọc Chờ Admin duyệt) hoặc SO › Yêu cầu đặt hàng</t>
        </is>
      </c>
      <c r="D62" s="10" t="inlineStr">
        <is>
          <t>Kiểm hồ sơ như sheet Admin duyệt đơn (bước 2): P&amp;L đủ 2 cấp, hợp đồng / PO khách, mã hàng, số lượng, End User, POS-ID. Duyệt hoặc trả về.</t>
        </is>
      </c>
      <c r="E62" s="10" t="inlineStr">
        <is>
          <t>Duyệt → "Đã gửi". Trả về → Sales nhận lý do.</t>
        </is>
      </c>
    </row>
    <row r="63">
      <c r="A63" s="26" t="n">
        <v>3</v>
      </c>
      <c r="B63" s="10" t="inlineStr">
        <is>
          <t>Order Management → PO Team</t>
        </is>
      </c>
      <c r="C63" s="10" t="inlineStr">
        <is>
          <t>Mua hàng › Duyệt yêu cầu (PR)</t>
        </is>
      </c>
      <c r="D63" s="10" t="inlineStr">
        <is>
          <t>Tiếp nhận yêu cầu "Đã gửi" để PO Team đặt hàng, hoặc trả về; sửa thông tin End User nếu cần.</t>
        </is>
      </c>
      <c r="E63" s="10" t="inlineStr">
        <is>
          <t>"Đang xử lý", các dòng vào Gom đơn cần đặt.</t>
        </is>
      </c>
    </row>
    <row r="64">
      <c r="A64" s="26" t="n">
        <v>4</v>
      </c>
      <c r="B64" s="10" t="inlineStr">
        <is>
          <t>Order Management / PO Staff</t>
        </is>
      </c>
      <c r="C64" s="10" t="inlineStr">
        <is>
          <t>Mua hàng › Gom đơn cần đặt; Đơn hàng (Không PNL)</t>
        </is>
      </c>
      <c r="D64" s="10" t="inlineStr">
        <is>
          <t>Theo dõi danh sách cần đặt, giao PO Staff làm PO; có thể tự tạo PO nháp hoặc đơn nhanh đặt Hãng.</t>
        </is>
      </c>
      <c r="E64" s="10" t="inlineStr">
        <is>
          <t>Không còn dòng tồn đọng chưa ai xử lý.</t>
        </is>
      </c>
    </row>
    <row r="65">
      <c r="A65" s="26" t="n">
        <v>5</v>
      </c>
      <c r="B65" s="10" t="inlineStr">
        <is>
          <t>PO Staff → Order Management</t>
        </is>
      </c>
      <c r="C65" s="10" t="inlineStr">
        <is>
          <t>Mua hàng › Đặt hàng với hãng (PO)</t>
        </is>
      </c>
      <c r="D65" s="10" t="inlineStr">
        <is>
          <t>Duyệt PO PO Staff gửi lên; theo dõi PO đang về, PO bị Hold.</t>
        </is>
      </c>
      <c r="E65" s="10" t="inlineStr">
        <is>
          <t>PO "Đã đặt"; Sales của SO nhận thông báo.</t>
        </is>
      </c>
    </row>
    <row r="66">
      <c r="A66" s="26" t="n">
        <v>6</v>
      </c>
      <c r="B66" s="10" t="inlineStr">
        <is>
          <t>Sales → Order Management</t>
        </is>
      </c>
      <c r="C66" s="10" t="inlineStr">
        <is>
          <t>Kho hàng › Xuất kho; SO</t>
        </is>
      </c>
      <c r="D66" s="10" t="inlineStr">
        <is>
          <t>Duyệt đề xuất xuất kho theo điều kiện ở sheet Admin duyệt đơn (bước 5).</t>
        </is>
      </c>
      <c r="E66" s="10" t="inlineStr">
        <is>
          <t>Chờ KT xuất hóa đơn hoặc sẵn sàng xuất thực tế.</t>
        </is>
      </c>
    </row>
    <row r="67">
      <c r="A67" s="26" t="n">
        <v>7</v>
      </c>
      <c r="B67" s="10" t="inlineStr">
        <is>
          <t>Marketing → Order Management → BOD</t>
        </is>
      </c>
      <c r="C67" s="10" t="inlineStr">
        <is>
          <t>Bán hàng › Sự kiện Marketing</t>
        </is>
      </c>
      <c r="D67" s="10" t="inlineStr">
        <is>
          <t>Kiểm chủ trương và ngân sách sự kiện, duyệt cấp 1 hoặc từ chối.</t>
        </is>
      </c>
      <c r="E67" s="10" t="inlineStr">
        <is>
          <t>Duyệt → chuyển BOD duyệt cấp 2.</t>
        </is>
      </c>
    </row>
    <row r="68">
      <c r="A68" s="26" t="n">
        <v>8</v>
      </c>
      <c r="B68" s="10" t="inlineStr">
        <is>
          <t>Order Management</t>
        </is>
      </c>
      <c r="C68" s="10" t="inlineStr">
        <is>
          <t>Mua hàng › Bảng giá, Báo cáo mua hàng; Master Data › Nhà cung cấp</t>
        </is>
      </c>
      <c r="D68" s="10" t="inlineStr">
        <is>
          <t>Theo dõi giá mua, nhà cung cấp, giá trị mua theo kỳ.</t>
        </is>
      </c>
      <c r="E68" s="10" t="inlineStr">
        <is>
          <t>Số liệu khớp PO.</t>
        </is>
      </c>
    </row>
    <row r="70" ht="20" customHeight="1">
      <c r="A70" s="24" t="inlineStr">
        <is>
          <t>PHÒNG MUA HÀNG (PO TEAM)</t>
        </is>
      </c>
    </row>
    <row r="71" ht="44" customHeight="1">
      <c r="A71" s="21" t="inlineStr">
        <is>
          <t>Mua hàng biến yêu cầu đặt hàng của Sales thành đơn đặt Hãng / NCC (PO), theo dõi hàng trên đường về và xác nhận hàng đã nhận. Một PO có thể gom hàng của nhiều SO cùng Hãng. Khi PO nhận hàng, hệ thống tự tạo phiếu nhập kho cho Kho.</t>
        </is>
      </c>
    </row>
    <row r="72">
      <c r="A72" s="25" t="inlineStr">
        <is>
          <t>Bước</t>
        </is>
      </c>
      <c r="B72" s="25" t="inlineStr">
        <is>
          <t>Ai làm</t>
        </is>
      </c>
      <c r="C72" s="25" t="inlineStr">
        <is>
          <t>Vào đâu (menu)</t>
        </is>
      </c>
      <c r="D72" s="25" t="inlineStr">
        <is>
          <t>Việc cần làm</t>
        </is>
      </c>
      <c r="E72" s="25" t="inlineStr">
        <is>
          <t>Kết quả / trạng thái / chuyển cho ai</t>
        </is>
      </c>
    </row>
    <row r="73">
      <c r="A73" s="26" t="n">
        <v>1</v>
      </c>
      <c r="B73" s="10" t="inlineStr">
        <is>
          <t>PO Team</t>
        </is>
      </c>
      <c r="C73" s="10" t="inlineStr">
        <is>
          <t>Master Data › Nhà cung cấp; Mua hàng › Bảng giá</t>
        </is>
      </c>
      <c r="D73" s="10" t="inlineStr">
        <is>
          <t>Tạo NCC (mã, tên, MST, email, người liên hệ + chức vụ), cấu hình mẫu PO. Import bảng giá Hãng, khai chiết khấu, xem trước và áp giá vào danh mục sản phẩm.</t>
        </is>
      </c>
      <c r="E73" s="10" t="inlineStr">
        <is>
          <t>Sales tra được giá khi báo giá; NCC dùng được khi tạo PO / hỏi giá.</t>
        </is>
      </c>
    </row>
    <row r="74">
      <c r="A74" s="26" t="n">
        <v>2</v>
      </c>
      <c r="B74" s="10" t="inlineStr">
        <is>
          <t>PO Team</t>
        </is>
      </c>
      <c r="C74" s="10" t="inlineStr">
        <is>
          <t>Mua hàng › Duyệt yêu cầu (PR)</t>
        </is>
      </c>
      <c r="D74" s="10" t="inlineStr">
        <is>
          <t>Kiểm tra yêu cầu đặt hàng Sales đã được Admin duyệt ("Đã gửi"): Hãng, mã SP, End User, file.</t>
        </is>
      </c>
      <c r="E74" s="10" t="inlineStr">
        <is>
          <t>Đủ → "Đang xử lý", dòng vào danh sách cần đặt. Thiếu → trả "Thiếu thông tin" hoặc trả Sales sửa P&amp;L.</t>
        </is>
      </c>
    </row>
    <row r="75">
      <c r="A75" s="26" t="n">
        <v>3</v>
      </c>
      <c r="B75" s="10" t="inlineStr">
        <is>
          <t>PO Team</t>
        </is>
      </c>
      <c r="C75" s="10" t="inlineStr">
        <is>
          <t>Mua hàng › Gom đơn cần đặt</t>
        </is>
      </c>
      <c r="D75" s="10" t="inlineStr">
        <is>
          <t>Chọn các dòng cùng Hãng → tạo PO nháp; gộp PO nháp cùng Hãng; kiểm tra mã PO, giá, điều khoản thanh toán. Không đặt được thì báo Sales / hủy dòng kèm lý do.</t>
        </is>
      </c>
      <c r="E75" s="10" t="inlineStr">
        <is>
          <t>PO nháp "Chờ đặt". Hủy dòng → P&amp;L của SO mở lại cho Sales.</t>
        </is>
      </c>
    </row>
    <row r="76">
      <c r="A76" s="26" t="n">
        <v>4</v>
      </c>
      <c r="B76" s="10" t="inlineStr">
        <is>
          <t>PO Team → PO Manager</t>
        </is>
      </c>
      <c r="C76" s="10" t="inlineStr">
        <is>
          <t>Mua hàng › Đặt hàng với hãng (PO)</t>
        </is>
      </c>
      <c r="D76" s="10" t="inlineStr">
        <is>
          <t>Xác nhận PO nháp, gửi duyệt.</t>
        </is>
      </c>
      <c r="E76" s="10" t="inlineStr">
        <is>
          <t>Chờ đặt → Chờ duyệt → Đã đặt. Bị chặn nếu SO chưa thu đợt "trước đặt hàng". Sales của SO nhận thông báo.</t>
        </is>
      </c>
    </row>
    <row r="77">
      <c r="A77" s="26" t="n">
        <v>5</v>
      </c>
      <c r="B77" s="10" t="inlineStr">
        <is>
          <t>PO Team</t>
        </is>
      </c>
      <c r="C77" s="10" t="inlineStr">
        <is>
          <t>Mua hàng › Đặt hàng với hãng (PO) › mở PO</t>
        </is>
      </c>
      <c r="D77" s="10" t="inlineStr">
        <is>
          <t>Gửi PO qua email cho NCC; xác nhận khi Hãng xác nhận; cập nhật ETD, ETA, mã vận đơn; chuyển "Đang về"; upload license. Sự cố: Hold, trả về Gom đơn, hủy PO.</t>
        </is>
      </c>
      <c r="E77" s="10" t="inlineStr">
        <is>
          <t>Sales thấy mốc ETD/ETA ở Theo dõi hàng về.</t>
        </is>
      </c>
    </row>
    <row r="78">
      <c r="A78" s="26" t="n">
        <v>6</v>
      </c>
      <c r="B78" s="10" t="inlineStr">
        <is>
          <t>PO Team</t>
        </is>
      </c>
      <c r="C78" s="10" t="inlineStr">
        <is>
          <t>PO › Nhận hàng</t>
        </is>
      </c>
      <c r="D78" s="10" t="inlineStr">
        <is>
          <t>Nhận từng dòng / một phần / tất cả; nhập S/N (import file hoặc gõ tay).</t>
        </is>
      </c>
      <c r="E78" s="10" t="inlineStr">
        <is>
          <t>PO "Đang về (một phần)" / "Đã về – đủ hàng"; phiếu nhập kho tự sinh cho Kho; Sales được báo.</t>
        </is>
      </c>
    </row>
    <row r="79">
      <c r="A79" s="26" t="n">
        <v>7</v>
      </c>
      <c r="B79" s="10" t="inlineStr">
        <is>
          <t>PO Team / BOD</t>
        </is>
      </c>
      <c r="C79" s="10" t="inlineStr">
        <is>
          <t>Mua hàng › Báo cáo mua hàng</t>
        </is>
      </c>
      <c r="D79" s="10" t="inlineStr">
        <is>
          <t>Xem giá trị mua theo NCC / kỳ, xuất Excel.</t>
        </is>
      </c>
      <c r="E79" s="10" t="inlineStr">
        <is>
          <t>Số liệu khớp các PO trong kỳ.</t>
        </is>
      </c>
    </row>
    <row r="81" ht="20" customHeight="1">
      <c r="A81" s="24" t="inlineStr">
        <is>
          <t>KHO</t>
        </is>
      </c>
    </row>
    <row r="82" ht="44" customHeight="1">
      <c r="A82" s="21" t="inlineStr">
        <is>
          <t>Kho giữ số liệu tồn thật: mọi thiết bị theo dõi theo kho, Số PO và S/N. Phiếu nhập sinh từ PO của Mua hàng, phiếu xuất sinh từ đề xuất của Sales. Việc của Kho là kiểm hàng, ghi đúng S/N và bấm duyệt — chỉ khi Kho duyệt thì tồn mới tăng / giảm. Kho runrate là kho hàng có sẵn, Sales được xin giữ trước.</t>
        </is>
      </c>
    </row>
    <row r="83">
      <c r="A83" s="25" t="inlineStr">
        <is>
          <t>Bước</t>
        </is>
      </c>
      <c r="B83" s="25" t="inlineStr">
        <is>
          <t>Ai làm</t>
        </is>
      </c>
      <c r="C83" s="25" t="inlineStr">
        <is>
          <t>Vào đâu (menu)</t>
        </is>
      </c>
      <c r="D83" s="25" t="inlineStr">
        <is>
          <t>Việc cần làm</t>
        </is>
      </c>
      <c r="E83" s="25" t="inlineStr">
        <is>
          <t>Kết quả / trạng thái / chuyển cho ai</t>
        </is>
      </c>
    </row>
    <row r="84">
      <c r="A84" s="26" t="n">
        <v>1</v>
      </c>
      <c r="B84" s="10" t="inlineStr">
        <is>
          <t>Kho / Admin</t>
        </is>
      </c>
      <c r="C84" s="10" t="inlineStr">
        <is>
          <t>Kho hàng › Quản lý kho</t>
        </is>
      </c>
      <c r="D84" s="10" t="inlineStr">
        <is>
          <t>Tạo các kho, đánh dấu Kho runrate; import tồn đầu kỳ (mã SP, mã kho, S/N, ngày nhập).</t>
        </is>
      </c>
      <c r="E84" s="10" t="inlineStr">
        <is>
          <t>Kho xuất hiện ở mọi dropdown; tồn đầu đúng. Dòng import sai báo theo số dòng, không nhập.</t>
        </is>
      </c>
    </row>
    <row r="85">
      <c r="A85" s="26" t="n">
        <v>2</v>
      </c>
      <c r="B85" s="10" t="inlineStr">
        <is>
          <t>Kho</t>
        </is>
      </c>
      <c r="C85" s="10" t="inlineStr">
        <is>
          <t>Kho hàng › Nhập kho</t>
        </is>
      </c>
      <c r="D85" s="10" t="inlineStr">
        <is>
          <t>Phiếu nhập tự sinh khi PO Team nhận hàng (Chờ xử lý). Đếm hàng, nhập / dán S/N, chọn kho, bấm Duyệt (hoặc Từ chối nếu sai). Nhập khác thì tạo phiếu tay.</t>
        </is>
      </c>
      <c r="E85" s="10" t="inlineStr">
        <is>
          <t>Phiếu Hoàn thành, hàng vào tồn đúng kho, gắn Số PO. In phiếu, xuất MISA.</t>
        </is>
      </c>
    </row>
    <row r="86">
      <c r="A86" s="26" t="n">
        <v>3</v>
      </c>
      <c r="B86" s="10" t="inlineStr">
        <is>
          <t>Sales → Kho / quản lý kho</t>
        </is>
      </c>
      <c r="C86" s="10" t="inlineStr">
        <is>
          <t>Kho hàng › Yêu cầu (Ticket)</t>
        </is>
      </c>
      <c r="D86" s="10" t="inlineStr">
        <is>
          <t>Sales xin giữ hàng theo model + số lượng ở Kho runrate; Kho duyệt hoặc từ chối kèm lý do.</t>
        </is>
      </c>
      <c r="E86" s="10" t="inlineStr">
        <is>
          <t>Số lượng đã giữ không còn trong phần khả dụng; xem được ai đang giữ gì và lịch sử.</t>
        </is>
      </c>
    </row>
    <row r="87">
      <c r="A87" s="26" t="n">
        <v>4</v>
      </c>
      <c r="B87" s="10" t="inlineStr">
        <is>
          <t>Sales → Admin → Kế toán → Kho</t>
        </is>
      </c>
      <c r="C87" s="10" t="inlineStr">
        <is>
          <t>Kho hàng › Xuất kho</t>
        </is>
      </c>
      <c r="D87" s="10" t="inlineStr">
        <is>
          <t>Nhận đề xuất từ SO (chuẩn bị hàng). Khi Admin đã duyệt + KT đã xuất HĐ chính thức + đợt "trước xuất hàng" đã thu: chọn kho xuất, quét S/N từng thiết bị, bấm Duyệt, cập nhật ngày giao.</t>
        </is>
      </c>
      <c r="E87" s="10" t="inlineStr">
        <is>
          <t>Phiếu Hoàn thành, tồn trừ đúng S/N, S/N gắn khách và bắt đầu bảo hành. In phiếu / biên bản giao, xuất MISA.</t>
        </is>
      </c>
    </row>
    <row r="88">
      <c r="A88" s="26" t="n">
        <v>5</v>
      </c>
      <c r="B88" s="10" t="inlineStr">
        <is>
          <t>Kho</t>
        </is>
      </c>
      <c r="C88" s="10" t="inlineStr">
        <is>
          <t>Kho hàng › Chuyển kho</t>
        </is>
      </c>
      <c r="D88" s="10" t="inlineStr">
        <is>
          <t>Chọn kho đi, kho đến, sản phẩm, S/N, số lượng → duyệt.</t>
        </is>
      </c>
      <c r="E88" s="10" t="inlineStr">
        <is>
          <t>Kho đi giảm, kho đến tăng đúng S/N.</t>
        </is>
      </c>
    </row>
    <row r="89">
      <c r="A89" s="26" t="n">
        <v>6</v>
      </c>
      <c r="B89" s="10" t="inlineStr">
        <is>
          <t>Kho → quản lý kho</t>
        </is>
      </c>
      <c r="C89" s="10" t="inlineStr">
        <is>
          <t>Kho hàng › Hàng hư hỏng</t>
        </is>
      </c>
      <c r="D89" s="10" t="inlineStr">
        <is>
          <t>Báo hỏng / thanh lý: chọn S/N, số lượng, lý do → chờ duyệt → duyệt.</t>
        </is>
      </c>
      <c r="E89" s="10" t="inlineStr">
        <is>
          <t>Thiết bị rời tồn khả dụng.</t>
        </is>
      </c>
    </row>
    <row r="90">
      <c r="A90" s="26" t="n">
        <v>7</v>
      </c>
      <c r="B90" s="10" t="inlineStr">
        <is>
          <t>Kho</t>
        </is>
      </c>
      <c r="C90" s="10" t="inlineStr">
        <is>
          <t>Kho hàng › Tồn kho</t>
        </is>
      </c>
      <c r="D90" s="10" t="inlineStr">
        <is>
          <t>Xem tồn theo kho / Số PO / S/N, cảnh báo tồn thấp &amp; sắp hết hạn, cột tùy biến, cập nhật S/N hàng loạt, xuất Excel.</t>
        </is>
      </c>
      <c r="E90" s="10" t="inlineStr">
        <is>
          <t>Số liệu tồn khớp với các phiếu nhập / xuất / chuyển / hỏng đã duyệt.</t>
        </is>
      </c>
    </row>
    <row r="92" ht="20" customHeight="1">
      <c r="A92" s="24" t="inlineStr">
        <is>
          <t>KẾ TOÁN – TÀI CHÍNH</t>
        </is>
      </c>
    </row>
    <row r="93" ht="44" customHeight="1">
      <c r="A93" s="21" t="inlineStr">
        <is>
          <t>Kế toán giữ các "cổng tiền" của đơn hàng: chưa xác nhận đã thu đợt trước đặt hàng thì Mua hàng không chốt được PO; chưa xuất hóa đơn chính thức thì Kho không xuất được hàng. Ngoài ra Kế toán theo dõi công nợ khách hàng và rà soát tổng doanh số theo Hãng.</t>
        </is>
      </c>
    </row>
    <row r="94">
      <c r="A94" s="25" t="inlineStr">
        <is>
          <t>Bước</t>
        </is>
      </c>
      <c r="B94" s="25" t="inlineStr">
        <is>
          <t>Ai làm</t>
        </is>
      </c>
      <c r="C94" s="25" t="inlineStr">
        <is>
          <t>Vào đâu (menu)</t>
        </is>
      </c>
      <c r="D94" s="25" t="inlineStr">
        <is>
          <t>Việc cần làm</t>
        </is>
      </c>
      <c r="E94" s="25" t="inlineStr">
        <is>
          <t>Kết quả / trạng thái / chuyển cho ai</t>
        </is>
      </c>
    </row>
    <row r="95">
      <c r="A95" s="26" t="n">
        <v>1</v>
      </c>
      <c r="B95" s="10" t="inlineStr">
        <is>
          <t>Kế toán</t>
        </is>
      </c>
      <c r="C95" s="10" t="inlineStr">
        <is>
          <t>Hệ thống › Tiền tệ &amp; Tỷ giá; Hệ thống › Cài đặt (mẫu tiến độ thanh toán)</t>
        </is>
      </c>
      <c r="D95" s="10" t="inlineStr">
        <is>
          <t>Bật ngoại tệ, nhập / lấy tỷ giá ngày; tạo mẫu chia đợt thanh toán và ngưỡng giá trị đơn bắt buộc thu trước.</t>
        </is>
      </c>
      <c r="E95" s="10" t="inlineStr">
        <is>
          <t>Báo giá / đơn USD dùng đúng tỷ giá; Sales áp được mẫu thanh toán.</t>
        </is>
      </c>
    </row>
    <row r="96">
      <c r="A96" s="26" t="n">
        <v>2</v>
      </c>
      <c r="B96" s="10" t="inlineStr">
        <is>
          <t>Sales → Kế toán</t>
        </is>
      </c>
      <c r="C96" s="10" t="inlineStr">
        <is>
          <t>SO › Tiến độ thanh toán</t>
        </is>
      </c>
      <c r="D96" s="10" t="inlineStr">
        <is>
          <t>Đối chiếu UNC Sales upload với sao kê ngân hàng: đúng → Xác nhận; sai → Từ chối kèm lý do. Khách trả không qua Sales thì KT ghi nhận trực tiếp.</t>
        </is>
      </c>
      <c r="E96" s="10" t="inlineStr">
        <is>
          <t>Đợt Đã thanh toán, công nợ khách giảm; đợt "trước đặt hàng" mở PO, đợt "trước xuất hàng" mở xuất kho.</t>
        </is>
      </c>
    </row>
    <row r="97">
      <c r="A97" s="26" t="n">
        <v>3</v>
      </c>
      <c r="B97" s="10" t="inlineStr">
        <is>
          <t>Sales / Admin → Kế toán → Sales → Kế toán</t>
        </is>
      </c>
      <c r="C97" s="10" t="inlineStr">
        <is>
          <t>Yêu cầu xuất hóa đơn (từ SO hoặc phiếu xuất "Chờ KT xuất hóa đơn")</t>
        </is>
      </c>
      <c r="D97" s="10" t="inlineStr">
        <is>
          <t>Cần HĐ nháp: upload HĐ nháp → Sales xác nhận / báo sai (KT upload lại v2) → phát hành HĐ chính thức, ghi nhận Đã xuất HĐ. Xuất trực tiếp: đính kèm HĐ và ghi nhận luôn.</t>
        </is>
      </c>
      <c r="E97" s="10" t="inlineStr">
        <is>
          <t>Kho nhận thông báo được xuất hàng.</t>
        </is>
      </c>
    </row>
    <row r="98">
      <c r="A98" s="26" t="n">
        <v>4</v>
      </c>
      <c r="B98" s="10" t="inlineStr">
        <is>
          <t>Kế toán</t>
        </is>
      </c>
      <c r="C98" s="10" t="inlineStr">
        <is>
          <t>Bán hàng › Công nợ khách hàng</t>
        </is>
      </c>
      <c r="D98" s="10" t="inlineStr">
        <is>
          <t>Xem tổng nợ từng khách, chi tiết từng đơn, báo cáo tuổi nợ, xuất sao kê theo kỳ.</t>
        </is>
      </c>
      <c r="E98" s="10" t="inlineStr">
        <is>
          <t>Nợ khách chỉ tính từ đơn đã duyệt trở đi.</t>
        </is>
      </c>
    </row>
    <row r="99">
      <c r="A99" s="26" t="n">
        <v>5</v>
      </c>
      <c r="B99" s="10" t="inlineStr">
        <is>
          <t>Kế toán / BOD</t>
        </is>
      </c>
      <c r="C99" s="10" t="inlineStr">
        <is>
          <t>Bán hàng › Tổng Doanh Số</t>
        </is>
      </c>
      <c r="D99" s="10" t="inlineStr">
        <is>
          <t>Đồng bộ doanh số theo Hãng từ PO, rà soát, xuất file.</t>
        </is>
      </c>
      <c r="E99" s="10" t="inlineStr">
        <is>
          <t>Số liệu khớp PO; chỉ BOD xóa được dòng.</t>
        </is>
      </c>
    </row>
    <row r="101" ht="20" customHeight="1">
      <c r="A101" s="24" t="inlineStr">
        <is>
          <t>KỸ SƯ KỸ THUẬT</t>
        </is>
      </c>
    </row>
    <row r="102" ht="44" customHeight="1">
      <c r="A102" s="21" t="inlineStr">
        <is>
          <t>Kỹ thuật làm việc qua ticket. Ai cần kỹ sư (Sales cần BOM, demo, triển khai; khách báo lỗi; nhân viên cần IT) đều tạo ticket. Mỗi ticket có hạn SLA tính bằng giờ làm việc; đồng hồ SLA dừng khi có kỹ sư nhận. Loại đơn giản thì kỹ sư tự nhận, loại phức tạp thì Lead phân công.</t>
        </is>
      </c>
    </row>
    <row r="103">
      <c r="A103" s="25" t="inlineStr">
        <is>
          <t>Bước</t>
        </is>
      </c>
      <c r="B103" s="25" t="inlineStr">
        <is>
          <t>Ai làm</t>
        </is>
      </c>
      <c r="C103" s="25" t="inlineStr">
        <is>
          <t>Vào đâu (menu)</t>
        </is>
      </c>
      <c r="D103" s="25" t="inlineStr">
        <is>
          <t>Việc cần làm</t>
        </is>
      </c>
      <c r="E103" s="25" t="inlineStr">
        <is>
          <t>Kết quả / trạng thái / chuyển cho ai</t>
        </is>
      </c>
    </row>
    <row r="104">
      <c r="A104" s="26" t="n">
        <v>1</v>
      </c>
      <c r="B104" s="10" t="inlineStr">
        <is>
          <t>Người yêu cầu</t>
        </is>
      </c>
      <c r="C104" s="10" t="inlineStr">
        <is>
          <t>Technical › Quản lý Ticket › Tạo mới (hoặc từ Cơ hội / Dự án)</t>
        </is>
      </c>
      <c r="D104" s="10" t="inlineStr">
        <is>
          <t>Chọn loại, ưu tiên, khách / dự án, mô tả, file.</t>
        </is>
      </c>
      <c r="E104" s="10" t="inlineStr">
        <is>
          <t>Ticket Open; hạn SLA: Cao 4h, Trung bình 8h giờ làm việc (8:00–12:00, 13:30–17:30, T2–T6, trừ ngày lễ).</t>
        </is>
      </c>
    </row>
    <row r="105">
      <c r="A105" s="26" t="n">
        <v>2</v>
      </c>
      <c r="B105" s="10" t="inlineStr">
        <is>
          <t>Kỹ sư / Lead</t>
        </is>
      </c>
      <c r="C105" s="10" t="inlineStr">
        <is>
          <t>Technical › Quản lý Ticket</t>
        </is>
      </c>
      <c r="D105" s="10" t="inlineStr">
        <is>
          <t>Loại BOM, tài liệu, hậu mãi, IT, khác: kỹ sư tự Nhận. Loại khảo sát, triển khai, đào tạo, sự kiện: Lead phân công.</t>
        </is>
      </c>
      <c r="E105" s="10" t="inlineStr">
        <is>
          <t>Open → Assigned, SLA dừng.</t>
        </is>
      </c>
    </row>
    <row r="106">
      <c r="A106" s="26" t="n">
        <v>3</v>
      </c>
      <c r="B106" s="10" t="inlineStr">
        <is>
          <t>Kỹ sư</t>
        </is>
      </c>
      <c r="C106" s="10" t="inlineStr">
        <is>
          <t>Ticket</t>
        </is>
      </c>
      <c r="D106" s="10" t="inlineStr">
        <is>
          <t>In Progress / Waiting (chờ khách, đối tác, Hãng); ghi Nhật ký hỗ trợ mỗi lần làm; trao đổi, upload kết quả; bàn giao nếu bận.</t>
        </is>
      </c>
      <c r="E106" s="10" t="inlineStr">
        <is>
          <t>Lịch sử đầy đủ, nhật ký là căn cứ tính công.</t>
        </is>
      </c>
    </row>
    <row r="107">
      <c r="A107" s="26" t="n">
        <v>4</v>
      </c>
      <c r="B107" s="10" t="inlineStr">
        <is>
          <t>Kỹ sư → người yêu cầu → Lead</t>
        </is>
      </c>
      <c r="C107" s="10" t="inlineStr">
        <is>
          <t>Ticket</t>
        </is>
      </c>
      <c r="D107" s="10" t="inlineStr">
        <is>
          <t>Kỹ sư chuyển Completed; người yêu cầu gửi yêu cầu đóng; Lead chuyển Closed.</t>
        </is>
      </c>
      <c r="E107" s="10" t="inlineStr">
        <is>
          <t>Ticket Closed. Ticket gắn cơ hội phải Completed thì Sales mới đóng được cơ hội.</t>
        </is>
      </c>
    </row>
    <row r="108">
      <c r="A108" s="26" t="n">
        <v>5</v>
      </c>
      <c r="B108" s="10" t="inlineStr">
        <is>
          <t>Kỹ thuật / Sales</t>
        </is>
      </c>
      <c r="C108" s="10" t="inlineStr">
        <is>
          <t>Technical › Tra cứu S/N – License</t>
        </is>
      </c>
      <c r="D108" s="10" t="inlineStr">
        <is>
          <t>Tra S/N khi khách báo lỗi.</t>
        </is>
      </c>
      <c r="E108" s="10" t="inlineStr">
        <is>
          <t>Thấy khách, đơn, ngày xuất, hạn bảo hành, license; còn bảo hành thì mở ticket Hậu mãi.</t>
        </is>
      </c>
    </row>
    <row r="110" ht="20" customHeight="1">
      <c r="A110" s="24" t="inlineStr">
        <is>
          <t>TECH LEAD (TRƯỞNG NHÓM KỸ THUẬT)</t>
        </is>
      </c>
    </row>
    <row r="111" ht="44" customHeight="1">
      <c r="A111" s="21" t="inlineStr">
        <is>
          <t>Tech Lead điều phối team kỹ thuật: nhận các ticket chỉ Lead được nhận (khảo sát, triển khai, đào tạo, sự kiện) và ticket từ dự án, phân công kỹ sư, điều chuyển khi kỹ sư bận, đóng ticket sau khi kỹ sư hoàn thành, cấu hình loại ticket kỹ sư được tự nhận và theo dõi SLA.</t>
        </is>
      </c>
    </row>
    <row r="112">
      <c r="A112" s="25" t="inlineStr">
        <is>
          <t>Bước</t>
        </is>
      </c>
      <c r="B112" s="25" t="inlineStr">
        <is>
          <t>Ai làm</t>
        </is>
      </c>
      <c r="C112" s="25" t="inlineStr">
        <is>
          <t>Vào đâu (menu)</t>
        </is>
      </c>
      <c r="D112" s="25" t="inlineStr">
        <is>
          <t>Việc cần làm</t>
        </is>
      </c>
      <c r="E112" s="25" t="inlineStr">
        <is>
          <t>Kết quả / trạng thái / chuyển cho ai</t>
        </is>
      </c>
    </row>
    <row r="113">
      <c r="A113" s="26" t="n">
        <v>1</v>
      </c>
      <c r="B113" s="10" t="inlineStr">
        <is>
          <t>Người yêu cầu → Tech Lead</t>
        </is>
      </c>
      <c r="C113" s="10" t="inlineStr">
        <is>
          <t>Technical › Quản lý Ticket</t>
        </is>
      </c>
      <c r="D113" s="10" t="inlineStr">
        <is>
          <t>Nhận thông báo ticket loại chỉ Lead và ticket tạo từ dự án.</t>
        </is>
      </c>
      <c r="E113" s="10" t="inlineStr">
        <is>
          <t>Thấy toàn bộ ticket của team.</t>
        </is>
      </c>
    </row>
    <row r="114">
      <c r="A114" s="26" t="n">
        <v>2</v>
      </c>
      <c r="B114" s="10" t="inlineStr">
        <is>
          <t>Tech Lead → Kỹ sư</t>
        </is>
      </c>
      <c r="C114" s="10" t="inlineStr">
        <is>
          <t>Ticket › Phân công</t>
        </is>
      </c>
      <c r="D114" s="10" t="inlineStr">
        <is>
          <t>Chọn kỹ sư phù hợp.</t>
        </is>
      </c>
      <c r="E114" s="10" t="inlineStr">
        <is>
          <t>Assigned, SLA dừng, kỹ sư nhận thông báo.</t>
        </is>
      </c>
    </row>
    <row r="115">
      <c r="A115" s="26" t="n">
        <v>3</v>
      </c>
      <c r="B115" s="10" t="inlineStr">
        <is>
          <t>Tech Lead</t>
        </is>
      </c>
      <c r="C115" s="10" t="inlineStr">
        <is>
          <t>Ticket</t>
        </is>
      </c>
      <c r="D115" s="10" t="inlineStr">
        <is>
          <t>Theo dõi tiến độ, bàn giao sang kỹ sư khác khi cần, cập nhật tiến độ / nhật ký hỗ trợ khi cần.</t>
        </is>
      </c>
      <c r="E115" s="10" t="inlineStr">
        <is>
          <t>Lịch sử ghi đủ.</t>
        </is>
      </c>
    </row>
    <row r="116">
      <c r="A116" s="26" t="n">
        <v>4</v>
      </c>
      <c r="B116" s="10" t="inlineStr">
        <is>
          <t>Kỹ sư → Tech Lead</t>
        </is>
      </c>
      <c r="C116" s="10" t="inlineStr">
        <is>
          <t>Ticket</t>
        </is>
      </c>
      <c r="D116" s="10" t="inlineStr">
        <is>
          <t>Xem ticket kỹ sư đã Completed, kiểm tra kết quả, chuyển Closed.</t>
        </is>
      </c>
      <c r="E116" s="10" t="inlineStr">
        <is>
          <t>Ticket Closed.</t>
        </is>
      </c>
    </row>
    <row r="117">
      <c r="A117" s="26" t="n">
        <v>5</v>
      </c>
      <c r="B117" s="10" t="inlineStr">
        <is>
          <t>Tech Lead / Admin</t>
        </is>
      </c>
      <c r="C117" s="10" t="inlineStr">
        <is>
          <t>Quản lý Truy cập › Quyền (ma trận ticket kỹ thuật); Hệ thống › Cài đặt (SLA kỹ thuật)</t>
        </is>
      </c>
      <c r="D117" s="10" t="inlineStr">
        <is>
          <t>Chọn loại ticket kỹ sư được tự nhận; giờ làm việc, ngày lễ, giờ SLA theo ưu tiên.</t>
        </is>
      </c>
      <c r="E117" s="10" t="inlineStr">
        <is>
          <t>Áp dụng cho ticket mới.</t>
        </is>
      </c>
    </row>
    <row r="118">
      <c r="A118" s="26" t="n">
        <v>6</v>
      </c>
      <c r="B118" s="10" t="inlineStr">
        <is>
          <t>Tech Lead</t>
        </is>
      </c>
      <c r="C118" s="10" t="inlineStr">
        <is>
          <t>Technical › Báo cáo; Nhật ký hỗ trợ</t>
        </is>
      </c>
      <c r="D118" s="10" t="inlineStr">
        <is>
          <t>Xem ticket quá SLA, khối lượng theo kỹ sư; xuất Excel.</t>
        </is>
      </c>
      <c r="E118" s="10" t="inlineStr">
        <is>
          <t>Số liệu khớp danh sách ticket.</t>
        </is>
      </c>
    </row>
    <row r="120" ht="20" customHeight="1">
      <c r="A120" s="24" t="inlineStr">
        <is>
          <t>MARKETING</t>
        </is>
      </c>
    </row>
    <row r="121" ht="44" customHeight="1">
      <c r="A121" s="21" t="inlineStr">
        <is>
          <t>Marketing có 3 mảng: tổ chức sự kiện, phục vụ yêu cầu của Sales (quà tặng, công tác, chi phí), và quản lý kho vật phẩm cùng quỹ hỗ trợ của Hãng. Mọi khoản tốn tiền đều phải qua BOD duyệt, sau đó Kế toán mới chi.</t>
        </is>
      </c>
    </row>
    <row r="122">
      <c r="A122" s="25" t="inlineStr">
        <is>
          <t>Bước</t>
        </is>
      </c>
      <c r="B122" s="25" t="inlineStr">
        <is>
          <t>Ai làm</t>
        </is>
      </c>
      <c r="C122" s="25" t="inlineStr">
        <is>
          <t>Vào đâu (menu)</t>
        </is>
      </c>
      <c r="D122" s="25" t="inlineStr">
        <is>
          <t>Việc cần làm</t>
        </is>
      </c>
      <c r="E122" s="25" t="inlineStr">
        <is>
          <t>Kết quả / trạng thái / chuyển cho ai</t>
        </is>
      </c>
    </row>
    <row r="123">
      <c r="A123" s="26" t="n">
        <v>1</v>
      </c>
      <c r="B123" s="10" t="inlineStr">
        <is>
          <t>Marketing → BOD</t>
        </is>
      </c>
      <c r="C123" s="10" t="inlineStr">
        <is>
          <t>Bán hàng › Kho vật phẩm MKT; quỹ Hãng trong Sự kiện Marketing</t>
        </is>
      </c>
      <c r="D123" s="10" t="inlineStr">
        <is>
          <t>Đề xuất vật phẩm mới (BOD duyệt mới có tồn), import hàng loạt; khai quỹ Hãng, chi từ quỹ, ghi nhận Hãng thanh toán.</t>
        </is>
      </c>
      <c r="E123" s="10" t="inlineStr">
        <is>
          <t>Tồn vật phẩm và số dư quỹ đúng, có lịch sử giao dịch.</t>
        </is>
      </c>
    </row>
    <row r="124">
      <c r="A124" s="26" t="n">
        <v>2</v>
      </c>
      <c r="B124" s="10" t="inlineStr">
        <is>
          <t>Marketing → BOD</t>
        </is>
      </c>
      <c r="C124" s="10" t="inlineStr">
        <is>
          <t>Bán hàng › Sự kiện Marketing</t>
        </is>
      </c>
      <c r="D124" s="10" t="inlineStr">
        <is>
          <t>Tạo sự kiện → gửi duyệt (Order Management cấp 1 → BOD cấp 2) → mời khách, cập nhật tham dự, tạo ticket nhờ team khác → Hoàn thành.</t>
        </is>
      </c>
      <c r="E124" s="10" t="inlineStr">
        <is>
          <t>Nháp → Chờ duyệt → Đã duyệt (từ chối thì sửa gửi lại) → Hoàn thành.</t>
        </is>
      </c>
    </row>
    <row r="125">
      <c r="A125" s="26" t="n">
        <v>3</v>
      </c>
      <c r="B125" s="10" t="inlineStr">
        <is>
          <t>Sales → BOD → Marketing → Kế toán</t>
        </is>
      </c>
      <c r="C125" s="10" t="inlineStr">
        <is>
          <t>Yêu cầu Marketing (từ Cơ hội / sự kiện)</t>
        </is>
      </c>
      <c r="D125" s="10" t="inlineStr">
        <is>
          <t>Yêu cầu quà: BOD duyệt → Marketing phân công → nhận việc → phân bổ quà từ kho → bàn giao Sales → nộp kết quả → Marketing duyệt. Yêu cầu chi phí: BOD duyệt chi → KT thanh toán. Công tác: BOD duyệt.</t>
        </is>
      </c>
      <c r="E125" s="10" t="inlineStr">
        <is>
          <t>Chờ duyệt → Mới tiếp nhận → Đang thực hiện → Hoàn thành (hoặc Chờ thanh toán, Quá hạn, Từ chối).</t>
        </is>
      </c>
    </row>
    <row r="127" ht="20" customHeight="1">
      <c r="A127" s="24" t="inlineStr">
        <is>
          <t>QUẢN TRỊ HỆ THỐNG</t>
        </is>
      </c>
    </row>
    <row r="128" ht="44" customHeight="1">
      <c r="A128" s="21" t="inlineStr">
        <is>
          <t>Quản trị hệ thống cấu hình nền cho mọi phòng: tài khoản và vai trò, ai được xem gì, quy trình duyệt nhiều cấp, thông tin công ty, email, sao lưu dữ liệu.</t>
        </is>
      </c>
    </row>
    <row r="129">
      <c r="A129" s="25" t="inlineStr">
        <is>
          <t>Bước</t>
        </is>
      </c>
      <c r="B129" s="25" t="inlineStr">
        <is>
          <t>Ai làm</t>
        </is>
      </c>
      <c r="C129" s="25" t="inlineStr">
        <is>
          <t>Vào đâu (menu)</t>
        </is>
      </c>
      <c r="D129" s="25" t="inlineStr">
        <is>
          <t>Việc cần làm</t>
        </is>
      </c>
      <c r="E129" s="25" t="inlineStr">
        <is>
          <t>Kết quả / trạng thái / chuyển cho ai</t>
        </is>
      </c>
    </row>
    <row r="130">
      <c r="A130" s="26" t="n">
        <v>1</v>
      </c>
      <c r="B130" s="10" t="inlineStr">
        <is>
          <t>Admin</t>
        </is>
      </c>
      <c r="C130" s="10" t="inlineStr">
        <is>
          <t>Master Data › Nhân viên; Quản lý Truy cập › Người dùng</t>
        </is>
      </c>
      <c r="D130" s="10" t="inlineStr">
        <is>
          <t>Tạo / import nhân viên, cấp tài khoản, gán vai trò; nhân viên nghỉ thì khóa thay vì xóa.</t>
        </is>
      </c>
      <c r="E130" s="10" t="inlineStr">
        <is>
          <t>Nhân viên đăng nhập được, thấy đúng menu theo vai trò.</t>
        </is>
      </c>
    </row>
    <row r="131">
      <c r="A131" s="26" t="n">
        <v>2</v>
      </c>
      <c r="B131" s="10" t="inlineStr">
        <is>
          <t>Admin</t>
        </is>
      </c>
      <c r="C131" s="10" t="inlineStr">
        <is>
          <t>Quản lý Truy cập › Vai trò, Quyền, Phân nhóm (Team)</t>
        </is>
      </c>
      <c r="D131" s="10" t="inlineStr">
        <is>
          <t>Tick quyền trên ma trận cho từng vai trò; quyền xem 3 mức own / group / all; gom nhóm và chỉ định Lead.</t>
        </is>
      </c>
      <c r="E131" s="10" t="inlineStr">
        <is>
          <t>Người dùng thấy đúng dữ liệu.</t>
        </is>
      </c>
    </row>
    <row r="132">
      <c r="A132" s="26" t="n">
        <v>3</v>
      </c>
      <c r="B132" s="10" t="inlineStr">
        <is>
          <t>Admin</t>
        </is>
      </c>
      <c r="C132" s="10" t="inlineStr">
        <is>
          <t>Hệ thống › Quy trình duyệt</t>
        </is>
      </c>
      <c r="D132" s="10" t="inlineStr">
        <is>
          <t>Cấu hình các cấp duyệt: P&amp;L &amp; Hợp đồng (Legal → BOD), Ngân sách Marketing (Order Management → BOD).</t>
        </is>
      </c>
      <c r="E132" s="10" t="inlineStr">
        <is>
          <t>Chứng từ mới đi đúng cấp.</t>
        </is>
      </c>
    </row>
    <row r="133">
      <c r="A133" s="26" t="n">
        <v>4</v>
      </c>
      <c r="B133" s="10" t="inlineStr">
        <is>
          <t>Admin</t>
        </is>
      </c>
      <c r="C133" s="10" t="inlineStr">
        <is>
          <t>Hệ thống › Cài đặt; Tiền tệ &amp; Tỷ giá</t>
        </is>
      </c>
      <c r="D133" s="10" t="inlineStr">
        <is>
          <t>Thông tin công ty, email gửi đi, SLA kỹ thuật, mẫu PO, mẫu thanh toán, tỷ giá.</t>
        </is>
      </c>
      <c r="E133" s="10" t="inlineStr">
        <is>
          <t>Phiếu in, email, SLA đúng cấu hình.</t>
        </is>
      </c>
    </row>
    <row r="134">
      <c r="A134" s="26" t="n">
        <v>5</v>
      </c>
      <c r="B134" s="10" t="inlineStr">
        <is>
          <t>Admin</t>
        </is>
      </c>
      <c r="C134" s="10" t="inlineStr">
        <is>
          <t>Hệ thống › Cài đặt (cơ sở dữ liệu); Nhật ký hoạt động; Hướng dẫn sử dụng</t>
        </is>
      </c>
      <c r="D134" s="10" t="inlineStr">
        <is>
          <t>Sao lưu, phục hồi, lưu trữ; tra nhật ký; upload hướng dẫn.</t>
        </is>
      </c>
      <c r="E134" s="10" t="inlineStr">
        <is>
          <t>Dữ liệu an toàn, truy vết được.</t>
        </is>
      </c>
    </row>
    <row r="136" ht="20" customHeight="1">
      <c r="A136" s="24" t="inlineStr">
        <is>
          <t>KỊCH BẢN LIÊN PHÒNG BAN (END-TO-END)</t>
        </is>
      </c>
    </row>
    <row r="137" ht="44" customHeight="1">
      <c r="A137" s="21" t="inlineStr">
        <is>
          <t>Các sheet trước kiểm từng vai trò. Sheet này chạy một đơn hàng từ đầu đến cuối để kiểm chỗ bàn giao giữa các phòng: mỗi lần chuyển tay, người nhận phải thấy việc trong danh sách của mình và nhận thông báo. Hai cổng chặn do Kế toán giữ: UNC đợt trước đặt hàng (trước PO) và hóa đơn + UNC trước xuất (trước xuất kho).</t>
        </is>
      </c>
    </row>
    <row r="138">
      <c r="A138" s="25" t="inlineStr">
        <is>
          <t>Bước</t>
        </is>
      </c>
      <c r="B138" s="25" t="inlineStr">
        <is>
          <t>Ai làm</t>
        </is>
      </c>
      <c r="C138" s="25" t="inlineStr">
        <is>
          <t>Vào đâu (menu)</t>
        </is>
      </c>
      <c r="D138" s="25" t="inlineStr">
        <is>
          <t>Việc cần làm</t>
        </is>
      </c>
      <c r="E138" s="25" t="inlineStr">
        <is>
          <t>Kết quả / trạng thái / chuyển cho ai</t>
        </is>
      </c>
    </row>
    <row r="139">
      <c r="A139" s="26" t="n">
        <v>1</v>
      </c>
      <c r="B139" s="10" t="inlineStr">
        <is>
          <t>Sales</t>
        </is>
      </c>
      <c r="C139" s="10" t="inlineStr">
        <is>
          <t>Báo giá</t>
        </is>
      </c>
      <c r="D139" s="10" t="inlineStr">
        <is>
          <t>Báo giá được chốt → chuyển SO</t>
        </is>
      </c>
      <c r="E139" s="10" t="inlineStr"/>
    </row>
    <row r="140">
      <c r="A140" s="26" t="n">
        <v>2</v>
      </c>
      <c r="B140" s="10" t="inlineStr">
        <is>
          <t>Sales → Legal → BOD</t>
        </is>
      </c>
      <c r="C140" s="10" t="inlineStr">
        <is>
          <t>SO</t>
        </is>
      </c>
      <c r="D140" s="10" t="inlineStr">
        <is>
          <t>Lập P&amp;L + tiến độ thanh toán → Legal duyệt cấp 1 → BOD duyệt cấp 2</t>
        </is>
      </c>
      <c r="E140" s="10" t="inlineStr"/>
    </row>
    <row r="141">
      <c r="A141" s="26" t="n">
        <v>3</v>
      </c>
      <c r="B141" s="10" t="inlineStr">
        <is>
          <t>Sales → Admin</t>
        </is>
      </c>
      <c r="C141" s="10" t="inlineStr">
        <is>
          <t>SO</t>
        </is>
      </c>
      <c r="D141" s="10" t="inlineStr">
        <is>
          <t>Gửi yêu cầu đặt hàng → Admin kiểm hồ sơ, duyệt</t>
        </is>
      </c>
      <c r="E141" s="10" t="inlineStr"/>
    </row>
    <row r="142">
      <c r="A142" s="26" t="n">
        <v>4</v>
      </c>
      <c r="B142" s="10" t="inlineStr">
        <is>
          <t>Kế toán</t>
        </is>
      </c>
      <c r="C142" s="10" t="inlineStr">
        <is>
          <t>SO</t>
        </is>
      </c>
      <c r="D142" s="10" t="inlineStr">
        <is>
          <t>CỔNG 1: xác nhận UNC đợt trước đặt hàng</t>
        </is>
      </c>
      <c r="E142" s="10" t="inlineStr">
        <is>
          <t>Chưa qua thì PO bị khóa (trừ ngoại lệ BOD)</t>
        </is>
      </c>
    </row>
    <row r="143">
      <c r="A143" s="26" t="n">
        <v>5</v>
      </c>
      <c r="B143" s="10" t="inlineStr">
        <is>
          <t>Mua hàng</t>
        </is>
      </c>
      <c r="C143" s="10" t="inlineStr">
        <is>
          <t>Gom đơn / PO</t>
        </is>
      </c>
      <c r="D143" s="10" t="inlineStr">
        <is>
          <t>Gom đơn, lập PO, duyệt PO → gửi Hãng → nhận hàng</t>
        </is>
      </c>
      <c r="E143" s="10" t="inlineStr"/>
    </row>
    <row r="144">
      <c r="A144" s="26" t="n">
        <v>6</v>
      </c>
      <c r="B144" s="10" t="inlineStr">
        <is>
          <t>Kho</t>
        </is>
      </c>
      <c r="C144" s="10" t="inlineStr">
        <is>
          <t>Nhập kho</t>
        </is>
      </c>
      <c r="D144" s="10" t="inlineStr">
        <is>
          <t>Nhập kho, nhập S/N</t>
        </is>
      </c>
      <c r="E144" s="10" t="inlineStr"/>
    </row>
    <row r="145">
      <c r="A145" s="26" t="n">
        <v>7</v>
      </c>
      <c r="B145" s="10" t="inlineStr">
        <is>
          <t>Sales → Admin</t>
        </is>
      </c>
      <c r="C145" s="10" t="inlineStr">
        <is>
          <t>SO / Xuất kho</t>
        </is>
      </c>
      <c r="D145" s="10" t="inlineStr">
        <is>
          <t>Đề xuất xuất kho → Admin kiểm điều kiện xuất, duyệt</t>
        </is>
      </c>
      <c r="E145" s="10" t="inlineStr"/>
    </row>
    <row r="146">
      <c r="A146" s="26" t="n">
        <v>8</v>
      </c>
      <c r="B146" s="10" t="inlineStr">
        <is>
          <t>Kế toán</t>
        </is>
      </c>
      <c r="C146" s="10" t="inlineStr">
        <is>
          <t>Yêu cầu xuất HĐ</t>
        </is>
      </c>
      <c r="D146" s="10" t="inlineStr">
        <is>
          <t>CỔNG 2: xuất hóa đơn chính thức + UNC trước xuất</t>
        </is>
      </c>
      <c r="E146" s="10" t="inlineStr">
        <is>
          <t>Chưa qua thì Kho không xuất được</t>
        </is>
      </c>
    </row>
    <row r="147">
      <c r="A147" s="26" t="n">
        <v>9</v>
      </c>
      <c r="B147" s="10" t="inlineStr">
        <is>
          <t>Kho</t>
        </is>
      </c>
      <c r="C147" s="10" t="inlineStr">
        <is>
          <t>Xuất kho</t>
        </is>
      </c>
      <c r="D147" s="10" t="inlineStr">
        <is>
          <t>Xuất kho, quét S/N</t>
        </is>
      </c>
      <c r="E147" s="10" t="inlineStr"/>
    </row>
    <row r="148">
      <c r="A148" s="26" t="n">
        <v>10</v>
      </c>
      <c r="B148" s="10" t="inlineStr">
        <is>
          <t>Sales → Kế toán</t>
        </is>
      </c>
      <c r="C148" s="10" t="inlineStr">
        <is>
          <t>SO</t>
        </is>
      </c>
      <c r="D148" s="10" t="inlineStr">
        <is>
          <t>Giao hàng, UNC đợt cuối → KT xác nhận, công nợ = 0</t>
        </is>
      </c>
      <c r="E148" s="10" t="inlineStr">
        <is>
          <t>SO Hoàn thành</t>
        </is>
      </c>
    </row>
  </sheetData>
  <mergeCells count="29">
    <mergeCell ref="A30:E30"/>
    <mergeCell ref="A39:E39"/>
    <mergeCell ref="A59:E59"/>
    <mergeCell ref="A48:E48"/>
    <mergeCell ref="A82:E82"/>
    <mergeCell ref="A49:E49"/>
    <mergeCell ref="A1:E1"/>
    <mergeCell ref="A70:E70"/>
    <mergeCell ref="A110:E110"/>
    <mergeCell ref="A128:E128"/>
    <mergeCell ref="A137:E137"/>
    <mergeCell ref="A120:E120"/>
    <mergeCell ref="A3:E3"/>
    <mergeCell ref="A136:E136"/>
    <mergeCell ref="A101:E101"/>
    <mergeCell ref="A71:E71"/>
    <mergeCell ref="A4:E4"/>
    <mergeCell ref="A20:E20"/>
    <mergeCell ref="A38:E38"/>
    <mergeCell ref="A81:E81"/>
    <mergeCell ref="A19:E19"/>
    <mergeCell ref="A121:E121"/>
    <mergeCell ref="A102:E102"/>
    <mergeCell ref="A93:E93"/>
    <mergeCell ref="A111:E111"/>
    <mergeCell ref="A31:E31"/>
    <mergeCell ref="A58:E58"/>
    <mergeCell ref="A127:E127"/>
    <mergeCell ref="A92:E92"/>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O115"/>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PHÒNG KINH DOANH (SALES)</t>
        </is>
      </c>
    </row>
    <row r="2" ht="16" customHeight="1">
      <c r="A2" s="21" t="inlineStr">
        <is>
          <t>Tài khoản test: Sales Staff (thao tác chính), Sales Manager (duyệt, xem nhóm), BOD (duyệt P&amp;L, ngoại lệ)</t>
        </is>
      </c>
    </row>
    <row r="3" ht="48" customHeight="1">
      <c r="A3" s="5" t="inlineStr">
        <is>
          <t>Sales là điểm bắt đầu của mọi đơn hàng: tạo khách hàng, báo giá và đơn hàng bán (SO). Từ SO, hệ thống chuyển việc lần lượt sang Admin, Mua hàng, Kho, Kế toán. Sales không tự đặt hàng hay xuất kho, nhưng phải gửi yêu cầu và theo dõi đến khi khách trả đủ tiền.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KHÁCH HÀNG &amp; NGƯỜI LIÊN HỆ</t>
        </is>
      </c>
    </row>
    <row r="7">
      <c r="A7" s="12" t="inlineStr">
        <is>
          <t>SAL-001</t>
        </is>
      </c>
      <c r="B7" s="12" t="n">
        <v>1</v>
      </c>
      <c r="C7" s="10" t="inlineStr">
        <is>
          <t>Khách hàng</t>
        </is>
      </c>
      <c r="D7" s="12" t="inlineStr">
        <is>
          <t>Luồng chính</t>
        </is>
      </c>
      <c r="E7" s="10" t="inlineStr">
        <is>
          <t>Tạo khách hàng mới đủ thông tin (tên, MST, ngành, địa chỉ)</t>
        </is>
      </c>
      <c r="F7" s="10" t="inlineStr">
        <is>
          <t>Lưu thành công, xuất hiện trong danh sách và ô tìm kiếm</t>
        </is>
      </c>
      <c r="G7" s="7" t="n"/>
      <c r="H7" s="15" t="n"/>
      <c r="I7" s="14" t="n"/>
      <c r="J7" s="7" t="n"/>
      <c r="K7" s="14" t="n"/>
      <c r="L7" s="7" t="n"/>
      <c r="M7" s="7" t="n"/>
      <c r="N7" s="14" t="n"/>
      <c r="O7" s="7" t="n"/>
    </row>
    <row r="8">
      <c r="A8" s="12" t="inlineStr">
        <is>
          <t>SAL-002</t>
        </is>
      </c>
      <c r="B8" s="12" t="n">
        <v>1</v>
      </c>
      <c r="C8" s="10" t="inlineStr">
        <is>
          <t>Khách hàng</t>
        </is>
      </c>
      <c r="D8" s="12" t="inlineStr">
        <is>
          <t>Luồng chính</t>
        </is>
      </c>
      <c r="E8" s="10" t="inlineStr">
        <is>
          <t>Thêm 2 người liên hệ cho khách</t>
        </is>
      </c>
      <c r="F8" s="10" t="inlineStr">
        <is>
          <t>Cả hai hiện trong dropdown P.I.C khi lập báo giá</t>
        </is>
      </c>
      <c r="G8" s="7" t="n"/>
      <c r="H8" s="15" t="n"/>
      <c r="I8" s="14" t="n"/>
      <c r="J8" s="7" t="n"/>
      <c r="K8" s="14" t="n"/>
      <c r="L8" s="7" t="n"/>
      <c r="M8" s="7" t="n"/>
      <c r="N8" s="14" t="n"/>
      <c r="O8" s="7" t="n"/>
    </row>
    <row r="9">
      <c r="A9" s="28" t="inlineStr">
        <is>
          <t>SAL-003</t>
        </is>
      </c>
      <c r="B9" s="28" t="n">
        <v>1</v>
      </c>
      <c r="C9" s="29" t="inlineStr">
        <is>
          <t>Khách hàng</t>
        </is>
      </c>
      <c r="D9" s="28" t="inlineStr">
        <is>
          <t>Phát sinh</t>
        </is>
      </c>
      <c r="E9" s="29" t="inlineStr">
        <is>
          <t>Tạo khách có MST trùng với khách đã có</t>
        </is>
      </c>
      <c r="F9" s="29" t="inlineStr">
        <is>
          <t>Báo lỗi trùng MST, không tạo bản ghi mới</t>
        </is>
      </c>
      <c r="G9" s="7" t="n"/>
      <c r="H9" s="15" t="n"/>
      <c r="I9" s="14" t="n"/>
      <c r="J9" s="7" t="n"/>
      <c r="K9" s="14" t="n"/>
      <c r="L9" s="7" t="n"/>
      <c r="M9" s="7" t="n"/>
      <c r="N9" s="14" t="n"/>
      <c r="O9" s="7" t="n"/>
    </row>
    <row r="10">
      <c r="A10" s="28" t="inlineStr">
        <is>
          <t>SAL-004</t>
        </is>
      </c>
      <c r="B10" s="28" t="n">
        <v>1</v>
      </c>
      <c r="C10" s="29" t="inlineStr">
        <is>
          <t>Khách hàng</t>
        </is>
      </c>
      <c r="D10" s="28" t="inlineStr">
        <is>
          <t>Phát sinh</t>
        </is>
      </c>
      <c r="E10" s="29" t="inlineStr">
        <is>
          <t>Bỏ trống tên hoặc MST rồi lưu</t>
        </is>
      </c>
      <c r="F10" s="29" t="inlineStr">
        <is>
          <t>Báo lỗi bắt buộc ngay tại trường</t>
        </is>
      </c>
      <c r="G10" s="7" t="n"/>
      <c r="H10" s="15" t="n"/>
      <c r="I10" s="14" t="n"/>
      <c r="J10" s="7" t="n"/>
      <c r="K10" s="14" t="n"/>
      <c r="L10" s="7" t="n"/>
      <c r="M10" s="7" t="n"/>
      <c r="N10" s="14" t="n"/>
      <c r="O10" s="7" t="n"/>
    </row>
    <row r="11">
      <c r="A11" s="28" t="inlineStr">
        <is>
          <t>SAL-005</t>
        </is>
      </c>
      <c r="B11" s="28" t="n">
        <v>1</v>
      </c>
      <c r="C11" s="29" t="inlineStr">
        <is>
          <t>Khách hàng</t>
        </is>
      </c>
      <c r="D11" s="28" t="inlineStr">
        <is>
          <t>Phát sinh</t>
        </is>
      </c>
      <c r="E11" s="29" t="inlineStr">
        <is>
          <t>Thêm liên hệ có email trùng liên hệ khác của cùng khách; thử cùng email ở khách khác</t>
        </is>
      </c>
      <c r="F11" s="29" t="inlineStr">
        <is>
          <t>Cùng khách: báo "Email này đã tồn tại…". Khách khác: cho phép</t>
        </is>
      </c>
      <c r="G11" s="7" t="n"/>
      <c r="H11" s="15" t="n"/>
      <c r="I11" s="14" t="n"/>
      <c r="J11" s="7" t="n"/>
      <c r="K11" s="14" t="n"/>
      <c r="L11" s="7" t="n"/>
      <c r="M11" s="7" t="n"/>
      <c r="N11" s="14" t="n"/>
      <c r="O11" s="7" t="n"/>
    </row>
    <row r="12">
      <c r="A12" s="28" t="inlineStr">
        <is>
          <t>SAL-006</t>
        </is>
      </c>
      <c r="B12" s="28" t="n">
        <v>1</v>
      </c>
      <c r="C12" s="29" t="inlineStr">
        <is>
          <t>Khách hàng</t>
        </is>
      </c>
      <c r="D12" s="28" t="inlineStr">
        <is>
          <t>Phát sinh</t>
        </is>
      </c>
      <c r="E12" s="29" t="inlineStr">
        <is>
          <t>Nhập email sai định dạng</t>
        </is>
      </c>
      <c r="F12" s="29" t="inlineStr">
        <is>
          <t>Báo "Email không đúng định dạng"</t>
        </is>
      </c>
      <c r="G12" s="7" t="n"/>
      <c r="H12" s="15" t="n"/>
      <c r="I12" s="14" t="n"/>
      <c r="J12" s="7" t="n"/>
      <c r="K12" s="14" t="n"/>
      <c r="L12" s="7" t="n"/>
      <c r="M12" s="7" t="n"/>
      <c r="N12" s="14" t="n"/>
      <c r="O12" s="7" t="n"/>
    </row>
    <row r="13">
      <c r="A13" s="28" t="inlineStr">
        <is>
          <t>SAL-007</t>
        </is>
      </c>
      <c r="B13" s="28" t="n">
        <v>1</v>
      </c>
      <c r="C13" s="29" t="inlineStr">
        <is>
          <t>Khách hàng</t>
        </is>
      </c>
      <c r="D13" s="28" t="inlineStr">
        <is>
          <t>Phát sinh</t>
        </is>
      </c>
      <c r="E13" s="29" t="inlineStr">
        <is>
          <t>Import khách từ file mẫu có dòng trùng MST và dòng thiếu cột</t>
        </is>
      </c>
      <c r="F13" s="29" t="inlineStr">
        <is>
          <t>Báo số dòng thành công / lỗi; dòng lỗi không được tạo</t>
        </is>
      </c>
      <c r="G13" s="7" t="n"/>
      <c r="H13" s="15" t="n"/>
      <c r="I13" s="14" t="n"/>
      <c r="J13" s="7" t="n"/>
      <c r="K13" s="14" t="n"/>
      <c r="L13" s="7" t="n"/>
      <c r="M13" s="7" t="n"/>
      <c r="N13" s="14" t="n"/>
      <c r="O13" s="7" t="n"/>
    </row>
    <row r="14">
      <c r="A14" s="28" t="inlineStr">
        <is>
          <t>SAL-008</t>
        </is>
      </c>
      <c r="B14" s="28" t="n">
        <v>1</v>
      </c>
      <c r="C14" s="29" t="inlineStr">
        <is>
          <t>Khách hàng</t>
        </is>
      </c>
      <c r="D14" s="28" t="inlineStr">
        <is>
          <t>Phát sinh</t>
        </is>
      </c>
      <c r="E14" s="29" t="inlineStr">
        <is>
          <t>Sales A mở khách của Sales B (khác nhóm)</t>
        </is>
      </c>
      <c r="F14" s="29" t="inlineStr">
        <is>
          <t>Không thấy hoặc không sửa được, đúng phân quyền</t>
        </is>
      </c>
      <c r="G14" s="7" t="n"/>
      <c r="H14" s="15" t="n"/>
      <c r="I14" s="14" t="n"/>
      <c r="J14" s="7" t="n"/>
      <c r="K14" s="14" t="n"/>
      <c r="L14" s="7" t="n"/>
      <c r="M14" s="7" t="n"/>
      <c r="N14" s="14" t="n"/>
      <c r="O14" s="7" t="n"/>
    </row>
    <row r="15">
      <c r="A15" s="28" t="inlineStr">
        <is>
          <t>SAL-009</t>
        </is>
      </c>
      <c r="B15" s="28" t="n">
        <v>1</v>
      </c>
      <c r="C15" s="29" t="inlineStr">
        <is>
          <t>Khách hàng</t>
        </is>
      </c>
      <c r="D15" s="28" t="inlineStr">
        <is>
          <t>Phát sinh</t>
        </is>
      </c>
      <c r="E15" s="29" t="inlineStr">
        <is>
          <t>Xóa khách đã có báo giá / đơn hàng</t>
        </is>
      </c>
      <c r="F15" s="29" t="inlineStr">
        <is>
          <t>Bị chặn hoặc cảnh báo, không mất dữ liệu liên quan</t>
        </is>
      </c>
      <c r="G15" s="7" t="n"/>
      <c r="H15" s="15" t="n"/>
      <c r="I15" s="14" t="n"/>
      <c r="J15" s="7" t="n"/>
      <c r="K15" s="14" t="n"/>
      <c r="L15" s="7" t="n"/>
      <c r="M15" s="7" t="n"/>
      <c r="N15" s="14" t="n"/>
      <c r="O15" s="7" t="n"/>
    </row>
    <row r="16">
      <c r="A16" s="27" t="inlineStr">
        <is>
          <t>BƯỚC 2: CƠ HỘI &amp; HOẠT ĐỘNG GẶP KHÁCH</t>
        </is>
      </c>
    </row>
    <row r="17">
      <c r="A17" s="12" t="inlineStr">
        <is>
          <t>SAL-010</t>
        </is>
      </c>
      <c r="B17" s="12" t="n">
        <v>2</v>
      </c>
      <c r="C17" s="10" t="inlineStr">
        <is>
          <t>Cơ hội</t>
        </is>
      </c>
      <c r="D17" s="12" t="inlineStr">
        <is>
          <t>Luồng chính</t>
        </is>
      </c>
      <c r="E17" s="10" t="inlineStr">
        <is>
          <t>Tạo cơ hội: chọn khách, loại hoạt động, tiềm năng, mời người tham gia</t>
        </is>
      </c>
      <c r="F17" s="10" t="inlineStr">
        <is>
          <t>Người được mời nhận thông báo</t>
        </is>
      </c>
      <c r="G17" s="7" t="n"/>
      <c r="H17" s="15" t="n"/>
      <c r="I17" s="14" t="n"/>
      <c r="J17" s="7" t="n"/>
      <c r="K17" s="14" t="n"/>
      <c r="L17" s="7" t="n"/>
      <c r="M17" s="7" t="n"/>
      <c r="N17" s="14" t="n"/>
      <c r="O17" s="7" t="n"/>
    </row>
    <row r="18">
      <c r="A18" s="12" t="inlineStr">
        <is>
          <t>SAL-011</t>
        </is>
      </c>
      <c r="B18" s="12" t="n">
        <v>2</v>
      </c>
      <c r="C18" s="10" t="inlineStr">
        <is>
          <t>Cơ hội</t>
        </is>
      </c>
      <c r="D18" s="12" t="inlineStr">
        <is>
          <t>Luồng chính</t>
        </is>
      </c>
      <c r="E18" s="10" t="inlineStr">
        <is>
          <t>Người được mời bấm Đồng ý</t>
        </is>
      </c>
      <c r="F18" s="10" t="inlineStr">
        <is>
          <t>Hoạt động vào Calendar của họ</t>
        </is>
      </c>
      <c r="G18" s="7" t="n"/>
      <c r="H18" s="15" t="n"/>
      <c r="I18" s="14" t="n"/>
      <c r="J18" s="7" t="n"/>
      <c r="K18" s="14" t="n"/>
      <c r="L18" s="7" t="n"/>
      <c r="M18" s="7" t="n"/>
      <c r="N18" s="14" t="n"/>
      <c r="O18" s="7" t="n"/>
    </row>
    <row r="19">
      <c r="A19" s="12" t="inlineStr">
        <is>
          <t>SAL-012</t>
        </is>
      </c>
      <c r="B19" s="12" t="n">
        <v>2</v>
      </c>
      <c r="C19" s="10" t="inlineStr">
        <is>
          <t>Cơ hội</t>
        </is>
      </c>
      <c r="D19" s="12" t="inlineStr">
        <is>
          <t>Luồng chính</t>
        </is>
      </c>
      <c r="E19" s="10" t="inlineStr">
        <is>
          <t>Chuyển trạng thái Nháp → Đã lên lịch → Đã xác nhận → Đang thực hiện → Hoàn thành</t>
        </is>
      </c>
      <c r="F19" s="10" t="inlineStr">
        <is>
          <t>Mỗi bước đổi trạng thái đúng, có lịch sử</t>
        </is>
      </c>
      <c r="G19" s="7" t="n"/>
      <c r="H19" s="15" t="n"/>
      <c r="I19" s="14" t="n"/>
      <c r="J19" s="7" t="n"/>
      <c r="K19" s="14" t="n"/>
      <c r="L19" s="7" t="n"/>
      <c r="M19" s="7" t="n"/>
      <c r="N19" s="14" t="n"/>
      <c r="O19" s="7" t="n"/>
    </row>
    <row r="20">
      <c r="A20" s="12" t="inlineStr">
        <is>
          <t>SAL-013</t>
        </is>
      </c>
      <c r="B20" s="12" t="n">
        <v>2</v>
      </c>
      <c r="C20" s="10" t="inlineStr">
        <is>
          <t>Cơ hội</t>
        </is>
      </c>
      <c r="D20" s="12" t="inlineStr">
        <is>
          <t>Luồng chính</t>
        </is>
      </c>
      <c r="E20" s="10" t="inlineStr">
        <is>
          <t>Chuyển cơ hội thành dự án</t>
        </is>
      </c>
      <c r="F20" s="10" t="inlineStr">
        <is>
          <t>Dự án mới mang sẵn khách, nguồn cơ hội</t>
        </is>
      </c>
      <c r="G20" s="7" t="n"/>
      <c r="H20" s="15" t="n"/>
      <c r="I20" s="14" t="n"/>
      <c r="J20" s="7" t="n"/>
      <c r="K20" s="14" t="n"/>
      <c r="L20" s="7" t="n"/>
      <c r="M20" s="7" t="n"/>
      <c r="N20" s="14" t="n"/>
      <c r="O20" s="7" t="n"/>
    </row>
    <row r="21">
      <c r="A21" s="28" t="inlineStr">
        <is>
          <t>SAL-014</t>
        </is>
      </c>
      <c r="B21" s="28" t="n">
        <v>2</v>
      </c>
      <c r="C21" s="29" t="inlineStr">
        <is>
          <t>Cơ hội</t>
        </is>
      </c>
      <c r="D21" s="28" t="inlineStr">
        <is>
          <t>Phát sinh</t>
        </is>
      </c>
      <c r="E21" s="29" t="inlineStr">
        <is>
          <t>Hoạt động trình bày giải pháp chưa được BOD/Manager xác nhận, bấm Hoàn thành</t>
        </is>
      </c>
      <c r="F21" s="29" t="inlineStr">
        <is>
          <t>Bị chặn, thông báo cần xác nhận</t>
        </is>
      </c>
      <c r="G21" s="7" t="n"/>
      <c r="H21" s="15" t="n"/>
      <c r="I21" s="14" t="n"/>
      <c r="J21" s="7" t="n"/>
      <c r="K21" s="14" t="n"/>
      <c r="L21" s="7" t="n"/>
      <c r="M21" s="7" t="n"/>
      <c r="N21" s="14" t="n"/>
      <c r="O21" s="7" t="n"/>
    </row>
    <row r="22">
      <c r="A22" s="28" t="inlineStr">
        <is>
          <t>SAL-015</t>
        </is>
      </c>
      <c r="B22" s="28" t="n">
        <v>2</v>
      </c>
      <c r="C22" s="29" t="inlineStr">
        <is>
          <t>Cơ hội</t>
        </is>
      </c>
      <c r="D22" s="28" t="inlineStr">
        <is>
          <t>Phát sinh</t>
        </is>
      </c>
      <c r="E22" s="29" t="inlineStr">
        <is>
          <t>Yêu cầu quà tặng đang chờ BOD duyệt, bấm Hoàn thành; BOD từ chối quà</t>
        </is>
      </c>
      <c r="F22" s="29" t="inlineStr">
        <is>
          <t>Không hoàn thành được; khi bị từ chối Sales nhận thông báo</t>
        </is>
      </c>
      <c r="G22" s="7" t="n"/>
      <c r="H22" s="15" t="n"/>
      <c r="I22" s="14" t="n"/>
      <c r="J22" s="7" t="n"/>
      <c r="K22" s="14" t="n"/>
      <c r="L22" s="7" t="n"/>
      <c r="M22" s="7" t="n"/>
      <c r="N22" s="14" t="n"/>
      <c r="O22" s="7" t="n"/>
    </row>
    <row r="23">
      <c r="A23" s="28" t="inlineStr">
        <is>
          <t>SAL-016</t>
        </is>
      </c>
      <c r="B23" s="28" t="n">
        <v>2</v>
      </c>
      <c r="C23" s="29" t="inlineStr">
        <is>
          <t>Cơ hội</t>
        </is>
      </c>
      <c r="D23" s="28" t="inlineStr">
        <is>
          <t>Phát sinh</t>
        </is>
      </c>
      <c r="E23" s="29" t="inlineStr">
        <is>
          <t>Ticket Marketing hoặc Kỹ thuật gắn với cơ hội chưa xong, bấm Hoàn thành</t>
        </is>
      </c>
      <c r="F23" s="29" t="inlineStr">
        <is>
          <t>Bị chặn</t>
        </is>
      </c>
      <c r="G23" s="7" t="n"/>
      <c r="H23" s="15" t="n"/>
      <c r="I23" s="14" t="n"/>
      <c r="J23" s="7" t="n"/>
      <c r="K23" s="14" t="n"/>
      <c r="L23" s="7" t="n"/>
      <c r="M23" s="7" t="n"/>
      <c r="N23" s="14" t="n"/>
      <c r="O23" s="7" t="n"/>
    </row>
    <row r="24">
      <c r="A24" s="28" t="inlineStr">
        <is>
          <t>SAL-017</t>
        </is>
      </c>
      <c r="B24" s="28" t="n">
        <v>2</v>
      </c>
      <c r="C24" s="29" t="inlineStr">
        <is>
          <t>Cơ hội</t>
        </is>
      </c>
      <c r="D24" s="28" t="inlineStr">
        <is>
          <t>Phát sinh</t>
        </is>
      </c>
      <c r="E24" s="29" t="inlineStr">
        <is>
          <t>Người được mời bấm Từ chối; người không được mời mở link</t>
        </is>
      </c>
      <c r="F24" s="29" t="inlineStr">
        <is>
          <t>Từ chối: không xem chi tiết, có nút đổi ý. Không được mời: bị chặn</t>
        </is>
      </c>
      <c r="G24" s="7" t="n"/>
      <c r="H24" s="15" t="n"/>
      <c r="I24" s="14" t="n"/>
      <c r="J24" s="7" t="n"/>
      <c r="K24" s="14" t="n"/>
      <c r="L24" s="7" t="n"/>
      <c r="M24" s="7" t="n"/>
      <c r="N24" s="14" t="n"/>
      <c r="O24" s="7" t="n"/>
    </row>
    <row r="25">
      <c r="A25" s="28" t="inlineStr">
        <is>
          <t>SAL-018</t>
        </is>
      </c>
      <c r="B25" s="28" t="n">
        <v>2</v>
      </c>
      <c r="C25" s="29" t="inlineStr">
        <is>
          <t>Cơ hội</t>
        </is>
      </c>
      <c r="D25" s="28" t="inlineStr">
        <is>
          <t>Phát sinh</t>
        </is>
      </c>
      <c r="E25" s="29" t="inlineStr">
        <is>
          <t>Hoãn / hủy hoạt động</t>
        </is>
      </c>
      <c r="F25" s="29" t="inlineStr">
        <is>
          <t>Trạng thái đổi, lịch của người tham gia cập nhật</t>
        </is>
      </c>
      <c r="G25" s="7" t="n"/>
      <c r="H25" s="15" t="n"/>
      <c r="I25" s="14" t="n"/>
      <c r="J25" s="7" t="n"/>
      <c r="K25" s="14" t="n"/>
      <c r="L25" s="7" t="n"/>
      <c r="M25" s="7" t="n"/>
      <c r="N25" s="14" t="n"/>
      <c r="O25" s="7" t="n"/>
    </row>
    <row r="26">
      <c r="A26" s="27" t="inlineStr">
        <is>
          <t>BƯỚC 3: ĐĂNG KÝ DỰ ÁN VỚI HÃNG</t>
        </is>
      </c>
    </row>
    <row r="27">
      <c r="A27" s="12" t="inlineStr">
        <is>
          <t>SAL-019</t>
        </is>
      </c>
      <c r="B27" s="12" t="n">
        <v>3</v>
      </c>
      <c r="C27" s="10" t="inlineStr">
        <is>
          <t>Đăng ký dự án</t>
        </is>
      </c>
      <c r="D27" s="12" t="inlineStr">
        <is>
          <t>Luồng chính</t>
        </is>
      </c>
      <c r="E27" s="10" t="inlineStr">
        <is>
          <t>Tạo dự án, chọn Hãng, nhập BOM / file BOM, gửi đăng ký</t>
        </is>
      </c>
      <c r="F27" s="10" t="inlineStr">
        <is>
          <t>"Mới đăng ký (Chờ tiếp nhận)", PM/PO Team nhận thông báo</t>
        </is>
      </c>
      <c r="G27" s="7" t="n"/>
      <c r="H27" s="15" t="n"/>
      <c r="I27" s="14" t="n"/>
      <c r="J27" s="7" t="n"/>
      <c r="K27" s="14" t="n"/>
      <c r="L27" s="7" t="n"/>
      <c r="M27" s="7" t="n"/>
      <c r="N27" s="14" t="n"/>
      <c r="O27" s="7" t="n"/>
    </row>
    <row r="28">
      <c r="A28" s="12" t="inlineStr">
        <is>
          <t>SAL-020</t>
        </is>
      </c>
      <c r="B28" s="12" t="n">
        <v>3</v>
      </c>
      <c r="C28" s="10" t="inlineStr">
        <is>
          <t>Đăng ký dự án</t>
        </is>
      </c>
      <c r="D28" s="12" t="inlineStr">
        <is>
          <t>Luồng chính</t>
        </is>
      </c>
      <c r="E28" s="10" t="inlineStr">
        <is>
          <t>PM tiếp nhận → gửi Hãng → đính kèm Báo giá Hãng (v1)</t>
        </is>
      </c>
      <c r="F28" s="10" t="inlineStr">
        <is>
          <t>Sales nhận "Dự án có Báo giá Hãng mới"</t>
        </is>
      </c>
      <c r="G28" s="7" t="n"/>
      <c r="H28" s="15" t="n"/>
      <c r="I28" s="14" t="n"/>
      <c r="J28" s="7" t="n"/>
      <c r="K28" s="14" t="n"/>
      <c r="L28" s="7" t="n"/>
      <c r="M28" s="7" t="n"/>
      <c r="N28" s="14" t="n"/>
      <c r="O28" s="7" t="n"/>
    </row>
    <row r="29">
      <c r="A29" s="12" t="inlineStr">
        <is>
          <t>SAL-021</t>
        </is>
      </c>
      <c r="B29" s="12" t="n">
        <v>3</v>
      </c>
      <c r="C29" s="10" t="inlineStr">
        <is>
          <t>Đăng ký dự án</t>
        </is>
      </c>
      <c r="D29" s="12" t="inlineStr">
        <is>
          <t>Luồng chính</t>
        </is>
      </c>
      <c r="E29" s="10" t="inlineStr">
        <is>
          <t>Hoàn tất ĐKDA, cập nhật tiến độ hàng tháng</t>
        </is>
      </c>
      <c r="F29" s="10" t="inlineStr">
        <is>
          <t>"Đã đăng ký – Đang theo đuổi", lưu được cập nhật tháng</t>
        </is>
      </c>
      <c r="G29" s="7" t="n"/>
      <c r="H29" s="15" t="n"/>
      <c r="I29" s="14" t="n"/>
      <c r="J29" s="7" t="n"/>
      <c r="K29" s="14" t="n"/>
      <c r="L29" s="7" t="n"/>
      <c r="M29" s="7" t="n"/>
      <c r="N29" s="14" t="n"/>
      <c r="O29" s="7" t="n"/>
    </row>
    <row r="30">
      <c r="A30" s="12" t="inlineStr">
        <is>
          <t>SAL-022</t>
        </is>
      </c>
      <c r="B30" s="12" t="n">
        <v>3</v>
      </c>
      <c r="C30" s="10" t="inlineStr">
        <is>
          <t>Đăng ký dự án</t>
        </is>
      </c>
      <c r="D30" s="12" t="inlineStr">
        <is>
          <t>Luồng chính</t>
        </is>
      </c>
      <c r="E30" s="10" t="inlineStr">
        <is>
          <t>Đóng dự án Closed Won / Closed Lost</t>
        </is>
      </c>
      <c r="F30" s="10" t="inlineStr">
        <is>
          <t>Trạng thái đúng, dự án khóa chỉnh sửa</t>
        </is>
      </c>
      <c r="G30" s="7" t="n"/>
      <c r="H30" s="15" t="n"/>
      <c r="I30" s="14" t="n"/>
      <c r="J30" s="7" t="n"/>
      <c r="K30" s="14" t="n"/>
      <c r="L30" s="7" t="n"/>
      <c r="M30" s="7" t="n"/>
      <c r="N30" s="14" t="n"/>
      <c r="O30" s="7" t="n"/>
    </row>
    <row r="31">
      <c r="A31" s="28" t="inlineStr">
        <is>
          <t>SAL-023</t>
        </is>
      </c>
      <c r="B31" s="28" t="n">
        <v>3</v>
      </c>
      <c r="C31" s="29" t="inlineStr">
        <is>
          <t>Đăng ký dự án</t>
        </is>
      </c>
      <c r="D31" s="28" t="inlineStr">
        <is>
          <t>Phát sinh</t>
        </is>
      </c>
      <c r="E31" s="29" t="inlineStr">
        <is>
          <t>Gửi đăng ký không có BOM và không có file BOM</t>
        </is>
      </c>
      <c r="F31" s="29" t="inlineStr">
        <is>
          <t>Bị chặn "Bắt buộc phải nhập Danh mục BOM…"</t>
        </is>
      </c>
      <c r="G31" s="7" t="n"/>
      <c r="H31" s="15" t="n"/>
      <c r="I31" s="14" t="n"/>
      <c r="J31" s="7" t="n"/>
      <c r="K31" s="14" t="n"/>
      <c r="L31" s="7" t="n"/>
      <c r="M31" s="7" t="n"/>
      <c r="N31" s="14" t="n"/>
      <c r="O31" s="7" t="n"/>
    </row>
    <row r="32">
      <c r="A32" s="28" t="inlineStr">
        <is>
          <t>SAL-024</t>
        </is>
      </c>
      <c r="B32" s="28" t="n">
        <v>3</v>
      </c>
      <c r="C32" s="29" t="inlineStr">
        <is>
          <t>Đăng ký dự án</t>
        </is>
      </c>
      <c r="D32" s="28" t="inlineStr">
        <is>
          <t>Phát sinh</t>
        </is>
      </c>
      <c r="E32" s="29" t="inlineStr">
        <is>
          <t>Dự án Fortinet không nhập Net to FTN hoặc nhập 0</t>
        </is>
      </c>
      <c r="F32" s="29" t="inlineStr">
        <is>
          <t>Bị chặn</t>
        </is>
      </c>
      <c r="G32" s="7" t="n"/>
      <c r="H32" s="15" t="n"/>
      <c r="I32" s="14" t="n"/>
      <c r="J32" s="7" t="n"/>
      <c r="K32" s="14" t="n"/>
      <c r="L32" s="7" t="n"/>
      <c r="M32" s="7" t="n"/>
      <c r="N32" s="14" t="n"/>
      <c r="O32" s="7" t="n"/>
    </row>
    <row r="33">
      <c r="A33" s="28" t="inlineStr">
        <is>
          <t>SAL-025</t>
        </is>
      </c>
      <c r="B33" s="28" t="n">
        <v>3</v>
      </c>
      <c r="C33" s="29" t="inlineStr">
        <is>
          <t>Đăng ký dự án</t>
        </is>
      </c>
      <c r="D33" s="28" t="inlineStr">
        <is>
          <t>Phát sinh</t>
        </is>
      </c>
      <c r="E33" s="29" t="inlineStr">
        <is>
          <t>Đăng ký trùng dự án đã có</t>
        </is>
      </c>
      <c r="F33" s="29" t="inlineStr">
        <is>
          <t>Cảnh báo trùng, hiện Sales đã đăng ký trước</t>
        </is>
      </c>
      <c r="G33" s="7" t="n"/>
      <c r="H33" s="15" t="n"/>
      <c r="I33" s="14" t="n"/>
      <c r="J33" s="7" t="n"/>
      <c r="K33" s="14" t="n"/>
      <c r="L33" s="7" t="n"/>
      <c r="M33" s="7" t="n"/>
      <c r="N33" s="14" t="n"/>
      <c r="O33" s="7" t="n"/>
    </row>
    <row r="34">
      <c r="A34" s="28" t="inlineStr">
        <is>
          <t>SAL-026</t>
        </is>
      </c>
      <c r="B34" s="28" t="n">
        <v>3</v>
      </c>
      <c r="C34" s="29" t="inlineStr">
        <is>
          <t>Đăng ký dự án</t>
        </is>
      </c>
      <c r="D34" s="28" t="inlineStr">
        <is>
          <t>Phát sinh</t>
        </is>
      </c>
      <c r="E34" s="29" t="inlineStr">
        <is>
          <t>PM báo trùng → Sales phản hồi "Không trùng"; Sales khác thử phản hồi</t>
        </is>
      </c>
      <c r="F34" s="29" t="inlineStr">
        <is>
          <t>Dự án quay lại xử lý; chỉ Sales phụ trách được phản hồi</t>
        </is>
      </c>
      <c r="G34" s="7" t="n"/>
      <c r="H34" s="15" t="n"/>
      <c r="I34" s="14" t="n"/>
      <c r="J34" s="7" t="n"/>
      <c r="K34" s="14" t="n"/>
      <c r="L34" s="7" t="n"/>
      <c r="M34" s="7" t="n"/>
      <c r="N34" s="14" t="n"/>
      <c r="O34" s="7" t="n"/>
    </row>
    <row r="35">
      <c r="A35" s="28" t="inlineStr">
        <is>
          <t>SAL-027</t>
        </is>
      </c>
      <c r="B35" s="28" t="n">
        <v>3</v>
      </c>
      <c r="C35" s="29" t="inlineStr">
        <is>
          <t>Đăng ký dự án</t>
        </is>
      </c>
      <c r="D35" s="28" t="inlineStr">
        <is>
          <t>Phát sinh</t>
        </is>
      </c>
      <c r="E35" s="29" t="inlineStr">
        <is>
          <t>PM trả "Thiếu thông tin" → Sales sửa, gửi lại</t>
        </is>
      </c>
      <c r="F35" s="29" t="inlineStr">
        <is>
          <t>Log ghi "gửi đăng ký lại (lần 2)"</t>
        </is>
      </c>
      <c r="G35" s="7" t="n"/>
      <c r="H35" s="15" t="n"/>
      <c r="I35" s="14" t="n"/>
      <c r="J35" s="7" t="n"/>
      <c r="K35" s="14" t="n"/>
      <c r="L35" s="7" t="n"/>
      <c r="M35" s="7" t="n"/>
      <c r="N35" s="14" t="n"/>
      <c r="O35" s="7" t="n"/>
    </row>
    <row r="36">
      <c r="A36" s="28" t="inlineStr">
        <is>
          <t>SAL-028</t>
        </is>
      </c>
      <c r="B36" s="28" t="n">
        <v>3</v>
      </c>
      <c r="C36" s="29" t="inlineStr">
        <is>
          <t>Đăng ký dự án</t>
        </is>
      </c>
      <c r="D36" s="28" t="inlineStr">
        <is>
          <t>Phát sinh</t>
        </is>
      </c>
      <c r="E36" s="29" t="inlineStr">
        <is>
          <t>PM bấm nhắc Hãng</t>
        </is>
      </c>
      <c r="F36" s="29" t="inlineStr">
        <is>
          <t>SLA được gia hạn, có log</t>
        </is>
      </c>
      <c r="G36" s="7" t="n"/>
      <c r="H36" s="15" t="n"/>
      <c r="I36" s="14" t="n"/>
      <c r="J36" s="7" t="n"/>
      <c r="K36" s="14" t="n"/>
      <c r="L36" s="7" t="n"/>
      <c r="M36" s="7" t="n"/>
      <c r="N36" s="14" t="n"/>
      <c r="O36" s="7" t="n"/>
    </row>
    <row r="37">
      <c r="A37" s="28" t="inlineStr">
        <is>
          <t>SAL-029</t>
        </is>
      </c>
      <c r="B37" s="28" t="n">
        <v>3</v>
      </c>
      <c r="C37" s="29" t="inlineStr">
        <is>
          <t>Đăng ký dự án</t>
        </is>
      </c>
      <c r="D37" s="28" t="inlineStr">
        <is>
          <t>Phát sinh</t>
        </is>
      </c>
      <c r="E37" s="29" t="inlineStr">
        <is>
          <t>Hãng từ chối → Sales nhân bản dự án</t>
        </is>
      </c>
      <c r="F37" s="29" t="inlineStr">
        <is>
          <t>Dự án cũ khóa sửa; bản nhân bản yêu cầu chọn Hãng mới</t>
        </is>
      </c>
      <c r="G37" s="7" t="n"/>
      <c r="H37" s="15" t="n"/>
      <c r="I37" s="14" t="n"/>
      <c r="J37" s="7" t="n"/>
      <c r="K37" s="14" t="n"/>
      <c r="L37" s="7" t="n"/>
      <c r="M37" s="7" t="n"/>
      <c r="N37" s="14" t="n"/>
      <c r="O37" s="7" t="n"/>
    </row>
    <row r="38">
      <c r="A38" s="28" t="inlineStr">
        <is>
          <t>SAL-030</t>
        </is>
      </c>
      <c r="B38" s="28" t="n">
        <v>3</v>
      </c>
      <c r="C38" s="29" t="inlineStr">
        <is>
          <t>Đăng ký dự án</t>
        </is>
      </c>
      <c r="D38" s="28" t="inlineStr">
        <is>
          <t>Phát sinh</t>
        </is>
      </c>
      <c r="E38" s="29" t="inlineStr">
        <is>
          <t>Hãng gửi báo giá nhiều lần; xóa 1 phiên bản</t>
        </is>
      </c>
      <c r="F38" s="29" t="inlineStr">
        <is>
          <t>Có v1, v2…; xóa 1 bản không ảnh hưởng bản khác</t>
        </is>
      </c>
      <c r="G38" s="7" t="n"/>
      <c r="H38" s="15" t="n"/>
      <c r="I38" s="14" t="n"/>
      <c r="J38" s="7" t="n"/>
      <c r="K38" s="14" t="n"/>
      <c r="L38" s="7" t="n"/>
      <c r="M38" s="7" t="n"/>
      <c r="N38" s="14" t="n"/>
      <c r="O38" s="7" t="n"/>
    </row>
    <row r="39">
      <c r="A39" s="28" t="inlineStr">
        <is>
          <t>SAL-031</t>
        </is>
      </c>
      <c r="B39" s="28" t="n">
        <v>3</v>
      </c>
      <c r="C39" s="29" t="inlineStr">
        <is>
          <t>Đăng ký dự án</t>
        </is>
      </c>
      <c r="D39" s="28" t="inlineStr">
        <is>
          <t>Phát sinh</t>
        </is>
      </c>
      <c r="E39" s="29" t="inlineStr">
        <is>
          <t>Thêm P.I.C phụ / người theo dõi</t>
        </is>
      </c>
      <c r="F39" s="29" t="inlineStr">
        <is>
          <t>Họ nhận thông báo và thấy dự án</t>
        </is>
      </c>
      <c r="G39" s="7" t="n"/>
      <c r="H39" s="15" t="n"/>
      <c r="I39" s="14" t="n"/>
      <c r="J39" s="7" t="n"/>
      <c r="K39" s="14" t="n"/>
      <c r="L39" s="7" t="n"/>
      <c r="M39" s="7" t="n"/>
      <c r="N39" s="14" t="n"/>
      <c r="O39" s="7" t="n"/>
    </row>
    <row r="40">
      <c r="A40" s="27" t="inlineStr">
        <is>
          <t>BƯỚC 4: LẬP BÁO GIÁ, GỬI KHÁCH</t>
        </is>
      </c>
    </row>
    <row r="41">
      <c r="A41" s="12" t="inlineStr">
        <is>
          <t>SAL-032</t>
        </is>
      </c>
      <c r="B41" s="12" t="n">
        <v>4</v>
      </c>
      <c r="C41" s="10" t="inlineStr">
        <is>
          <t>Báo giá</t>
        </is>
      </c>
      <c r="D41" s="12" t="inlineStr">
        <is>
          <t>Luồng chính</t>
        </is>
      </c>
      <c r="E41" s="10" t="inlineStr">
        <is>
          <t>Tạo báo giá: khách, P.I.C, sản phẩm từ catalog / bảng giá, chiết khấu, VAT</t>
        </is>
      </c>
      <c r="F41" s="10" t="inlineStr">
        <is>
          <t>Tổng tiền tính đúng</t>
        </is>
      </c>
      <c r="G41" s="7" t="n"/>
      <c r="H41" s="15" t="n"/>
      <c r="I41" s="14" t="n"/>
      <c r="J41" s="7" t="n"/>
      <c r="K41" s="14" t="n"/>
      <c r="L41" s="7" t="n"/>
      <c r="M41" s="7" t="n"/>
      <c r="N41" s="14" t="n"/>
      <c r="O41" s="7" t="n"/>
    </row>
    <row r="42">
      <c r="A42" s="12" t="inlineStr">
        <is>
          <t>SAL-033</t>
        </is>
      </c>
      <c r="B42" s="12" t="n">
        <v>4</v>
      </c>
      <c r="C42" s="10" t="inlineStr">
        <is>
          <t>Báo giá</t>
        </is>
      </c>
      <c r="D42" s="12" t="inlineStr">
        <is>
          <t>Luồng chính</t>
        </is>
      </c>
      <c r="E42" s="10" t="inlineStr">
        <is>
          <t>Báo giá gắn dự án: bấm tải nhanh BOM</t>
        </is>
      </c>
      <c r="F42" s="10" t="inlineStr">
        <is>
          <t>Dòng sản phẩm được điền sẵn</t>
        </is>
      </c>
      <c r="G42" s="7" t="n"/>
      <c r="H42" s="15" t="n"/>
      <c r="I42" s="14" t="n"/>
      <c r="J42" s="7" t="n"/>
      <c r="K42" s="14" t="n"/>
      <c r="L42" s="7" t="n"/>
      <c r="M42" s="7" t="n"/>
      <c r="N42" s="14" t="n"/>
      <c r="O42" s="7" t="n"/>
    </row>
    <row r="43">
      <c r="A43" s="12" t="inlineStr">
        <is>
          <t>SAL-034</t>
        </is>
      </c>
      <c r="B43" s="12" t="n">
        <v>4</v>
      </c>
      <c r="C43" s="10" t="inlineStr">
        <is>
          <t>Báo giá</t>
        </is>
      </c>
      <c r="D43" s="12" t="inlineStr">
        <is>
          <t>Luồng chính</t>
        </is>
      </c>
      <c r="E43" s="10" t="inlineStr">
        <is>
          <t>In / xuất Excel / gửi email báo giá</t>
        </is>
      </c>
      <c r="F43" s="10" t="inlineStr">
        <is>
          <t>File đúng mẫu công ty, email đến đúng địa chỉ</t>
        </is>
      </c>
      <c r="G43" s="7" t="n"/>
      <c r="H43" s="15" t="n"/>
      <c r="I43" s="14" t="n"/>
      <c r="J43" s="7" t="n"/>
      <c r="K43" s="14" t="n"/>
      <c r="L43" s="7" t="n"/>
      <c r="M43" s="7" t="n"/>
      <c r="N43" s="14" t="n"/>
      <c r="O43" s="7" t="n"/>
    </row>
    <row r="44">
      <c r="A44" s="12" t="inlineStr">
        <is>
          <t>SAL-035</t>
        </is>
      </c>
      <c r="B44" s="12" t="n">
        <v>4</v>
      </c>
      <c r="C44" s="10" t="inlineStr">
        <is>
          <t>Báo giá</t>
        </is>
      </c>
      <c r="D44" s="12" t="inlineStr">
        <is>
          <t>Luồng chính</t>
        </is>
      </c>
      <c r="E44" s="10" t="inlineStr">
        <is>
          <t>Chuyển trạng thái Đã gửi khách → KH chốt giá</t>
        </is>
      </c>
      <c r="F44" s="10" t="inlineStr">
        <is>
          <t>Trạng thái đúng</t>
        </is>
      </c>
      <c r="G44" s="7" t="n"/>
      <c r="H44" s="15" t="n"/>
      <c r="I44" s="14" t="n"/>
      <c r="J44" s="7" t="n"/>
      <c r="K44" s="14" t="n"/>
      <c r="L44" s="7" t="n"/>
      <c r="M44" s="7" t="n"/>
      <c r="N44" s="14" t="n"/>
      <c r="O44" s="7" t="n"/>
    </row>
    <row r="45">
      <c r="A45" s="28" t="inlineStr">
        <is>
          <t>SAL-036</t>
        </is>
      </c>
      <c r="B45" s="28" t="n">
        <v>4</v>
      </c>
      <c r="C45" s="29" t="inlineStr">
        <is>
          <t>Báo giá</t>
        </is>
      </c>
      <c r="D45" s="28" t="inlineStr">
        <is>
          <t>Phát sinh</t>
        </is>
      </c>
      <c r="E45" s="29" t="inlineStr">
        <is>
          <t>Khách chưa có trong hệ thống: bấm "Thêm khách hàng nhanh" trên form báo giá</t>
        </is>
      </c>
      <c r="F45" s="29" t="inlineStr">
        <is>
          <t>Khách mới được chọn sẵn, dữ liệu đã nhập trên form không mất</t>
        </is>
      </c>
      <c r="G45" s="7" t="n"/>
      <c r="H45" s="15" t="n"/>
      <c r="I45" s="14" t="n"/>
      <c r="J45" s="7" t="n"/>
      <c r="K45" s="14" t="n"/>
      <c r="L45" s="7" t="n"/>
      <c r="M45" s="7" t="n"/>
      <c r="N45" s="14" t="n"/>
      <c r="O45" s="7" t="n"/>
    </row>
    <row r="46">
      <c r="A46" s="28" t="inlineStr">
        <is>
          <t>SAL-037</t>
        </is>
      </c>
      <c r="B46" s="28" t="n">
        <v>4</v>
      </c>
      <c r="C46" s="29" t="inlineStr">
        <is>
          <t>Báo giá</t>
        </is>
      </c>
      <c r="D46" s="28" t="inlineStr">
        <is>
          <t>Phát sinh</t>
        </is>
      </c>
      <c r="E46" s="29" t="inlineStr">
        <is>
          <t>Khách có rồi nhưng chưa có người liên hệ: bấm thêm nhanh P.I.C</t>
        </is>
      </c>
      <c r="F46" s="29" t="inlineStr">
        <is>
          <t>P.I.C mới được chọn sẵn</t>
        </is>
      </c>
      <c r="G46" s="7" t="n"/>
      <c r="H46" s="15" t="n"/>
      <c r="I46" s="14" t="n"/>
      <c r="J46" s="7" t="n"/>
      <c r="K46" s="14" t="n"/>
      <c r="L46" s="7" t="n"/>
      <c r="M46" s="7" t="n"/>
      <c r="N46" s="14" t="n"/>
      <c r="O46" s="7" t="n"/>
    </row>
    <row r="47">
      <c r="A47" s="28" t="inlineStr">
        <is>
          <t>SAL-038</t>
        </is>
      </c>
      <c r="B47" s="28" t="n">
        <v>4</v>
      </c>
      <c r="C47" s="29" t="inlineStr">
        <is>
          <t>Báo giá</t>
        </is>
      </c>
      <c r="D47" s="28" t="inlineStr">
        <is>
          <t>Phát sinh</t>
        </is>
      </c>
      <c r="E47" s="29" t="inlineStr">
        <is>
          <t>Sản phẩm chưa có trong danh mục: nhập tên tự do / tạo nhanh</t>
        </is>
      </c>
      <c r="F47" s="29" t="inlineStr">
        <is>
          <t>Lưu được, sản phẩm sinh ra trong danh mục</t>
        </is>
      </c>
      <c r="G47" s="7" t="n"/>
      <c r="H47" s="15" t="n"/>
      <c r="I47" s="14" t="n"/>
      <c r="J47" s="7" t="n"/>
      <c r="K47" s="14" t="n"/>
      <c r="L47" s="7" t="n"/>
      <c r="M47" s="7" t="n"/>
      <c r="N47" s="14" t="n"/>
      <c r="O47" s="7" t="n"/>
    </row>
    <row r="48">
      <c r="A48" s="28" t="inlineStr">
        <is>
          <t>SAL-039</t>
        </is>
      </c>
      <c r="B48" s="28" t="n">
        <v>4</v>
      </c>
      <c r="C48" s="29" t="inlineStr">
        <is>
          <t>Báo giá</t>
        </is>
      </c>
      <c r="D48" s="28" t="inlineStr">
        <is>
          <t>Phát sinh</t>
        </is>
      </c>
      <c r="E48" s="29" t="inlineStr">
        <is>
          <t>Không chọn P.I.C hoặc không có dòng sản phẩm nào</t>
        </is>
      </c>
      <c r="F48" s="29" t="inlineStr">
        <is>
          <t>Báo lỗi bắt buộc</t>
        </is>
      </c>
      <c r="G48" s="7" t="n"/>
      <c r="H48" s="15" t="n"/>
      <c r="I48" s="14" t="n"/>
      <c r="J48" s="7" t="n"/>
      <c r="K48" s="14" t="n"/>
      <c r="L48" s="7" t="n"/>
      <c r="M48" s="7" t="n"/>
      <c r="N48" s="14" t="n"/>
      <c r="O48" s="7" t="n"/>
    </row>
    <row r="49">
      <c r="A49" s="28" t="inlineStr">
        <is>
          <t>SAL-040</t>
        </is>
      </c>
      <c r="B49" s="28" t="n">
        <v>4</v>
      </c>
      <c r="C49" s="29" t="inlineStr">
        <is>
          <t>Báo giá</t>
        </is>
      </c>
      <c r="D49" s="28" t="inlineStr">
        <is>
          <t>Phát sinh</t>
        </is>
      </c>
      <c r="E49" s="29" t="inlineStr">
        <is>
          <t>Hạn báo giá trước ngày tạo</t>
        </is>
      </c>
      <c r="F49" s="29" t="inlineStr">
        <is>
          <t>Báo "Hạn báo giá phải sau hoặc bằng ngày tạo"</t>
        </is>
      </c>
      <c r="G49" s="7" t="n"/>
      <c r="H49" s="15" t="n"/>
      <c r="I49" s="14" t="n"/>
      <c r="J49" s="7" t="n"/>
      <c r="K49" s="14" t="n"/>
      <c r="L49" s="7" t="n"/>
      <c r="M49" s="7" t="n"/>
      <c r="N49" s="14" t="n"/>
      <c r="O49" s="7" t="n"/>
    </row>
    <row r="50">
      <c r="A50" s="28" t="inlineStr">
        <is>
          <t>SAL-041</t>
        </is>
      </c>
      <c r="B50" s="28" t="n">
        <v>4</v>
      </c>
      <c r="C50" s="29" t="inlineStr">
        <is>
          <t>Báo giá</t>
        </is>
      </c>
      <c r="D50" s="28" t="inlineStr">
        <is>
          <t>Phát sinh</t>
        </is>
      </c>
      <c r="E50" s="29" t="inlineStr">
        <is>
          <t>Số lượng 0 / âm, đơn giá âm, chiết khấu &gt; 100%</t>
        </is>
      </c>
      <c r="F50" s="29" t="inlineStr">
        <is>
          <t>Bị chặn</t>
        </is>
      </c>
      <c r="G50" s="7" t="n"/>
      <c r="H50" s="15" t="n"/>
      <c r="I50" s="14" t="n"/>
      <c r="J50" s="7" t="n"/>
      <c r="K50" s="14" t="n"/>
      <c r="L50" s="7" t="n"/>
      <c r="M50" s="7" t="n"/>
      <c r="N50" s="14" t="n"/>
      <c r="O50" s="7" t="n"/>
    </row>
    <row r="51">
      <c r="A51" s="28" t="inlineStr">
        <is>
          <t>SAL-042</t>
        </is>
      </c>
      <c r="B51" s="28" t="n">
        <v>4</v>
      </c>
      <c r="C51" s="29" t="inlineStr">
        <is>
          <t>Báo giá</t>
        </is>
      </c>
      <c r="D51" s="28" t="inlineStr">
        <is>
          <t>Phát sinh</t>
        </is>
      </c>
      <c r="E51" s="29" t="inlineStr">
        <is>
          <t>Chọn tiền tệ USD, đổi tỷ giá</t>
        </is>
      </c>
      <c r="F51" s="29" t="inlineStr">
        <is>
          <t>Hiện ô tỷ giá, tổng quy đổi VND đúng, giá tính lại khi đổi tỷ giá</t>
        </is>
      </c>
      <c r="G51" s="7" t="n"/>
      <c r="H51" s="15" t="n"/>
      <c r="I51" s="14" t="n"/>
      <c r="J51" s="7" t="n"/>
      <c r="K51" s="14" t="n"/>
      <c r="L51" s="7" t="n"/>
      <c r="M51" s="7" t="n"/>
      <c r="N51" s="14" t="n"/>
      <c r="O51" s="7" t="n"/>
    </row>
    <row r="52">
      <c r="A52" s="28" t="inlineStr">
        <is>
          <t>SAL-043</t>
        </is>
      </c>
      <c r="B52" s="28" t="n">
        <v>4</v>
      </c>
      <c r="C52" s="29" t="inlineStr">
        <is>
          <t>Báo giá</t>
        </is>
      </c>
      <c r="D52" s="28" t="inlineStr">
        <is>
          <t>Phát sinh</t>
        </is>
      </c>
      <c r="E52" s="29" t="inlineStr">
        <is>
          <t>Khách có bảng giá riêng</t>
        </is>
      </c>
      <c r="F52" s="29" t="inlineStr">
        <is>
          <t>Giá lấy theo bảng giá của khách</t>
        </is>
      </c>
      <c r="G52" s="7" t="n"/>
      <c r="H52" s="15" t="n"/>
      <c r="I52" s="14" t="n"/>
      <c r="J52" s="7" t="n"/>
      <c r="K52" s="14" t="n"/>
      <c r="L52" s="7" t="n"/>
      <c r="M52" s="7" t="n"/>
      <c r="N52" s="14" t="n"/>
      <c r="O52" s="7" t="n"/>
    </row>
    <row r="53">
      <c r="A53" s="28" t="inlineStr">
        <is>
          <t>SAL-044</t>
        </is>
      </c>
      <c r="B53" s="28" t="n">
        <v>4</v>
      </c>
      <c r="C53" s="29" t="inlineStr">
        <is>
          <t>Báo giá</t>
        </is>
      </c>
      <c r="D53" s="28" t="inlineStr">
        <is>
          <t>Phát sinh</t>
        </is>
      </c>
      <c r="E53" s="29" t="inlineStr">
        <is>
          <t>Khách từ chối báo giá</t>
        </is>
      </c>
      <c r="F53" s="29" t="inlineStr">
        <is>
          <t>"Khách từ chối", không chuyển đơn được</t>
        </is>
      </c>
      <c r="G53" s="7" t="n"/>
      <c r="H53" s="15" t="n"/>
      <c r="I53" s="14" t="n"/>
      <c r="J53" s="7" t="n"/>
      <c r="K53" s="14" t="n"/>
      <c r="L53" s="7" t="n"/>
      <c r="M53" s="7" t="n"/>
      <c r="N53" s="14" t="n"/>
      <c r="O53" s="7" t="n"/>
    </row>
    <row r="54">
      <c r="A54" s="28" t="inlineStr">
        <is>
          <t>SAL-045</t>
        </is>
      </c>
      <c r="B54" s="28" t="n">
        <v>4</v>
      </c>
      <c r="C54" s="29" t="inlineStr">
        <is>
          <t>Báo giá</t>
        </is>
      </c>
      <c r="D54" s="28" t="inlineStr">
        <is>
          <t>Phát sinh</t>
        </is>
      </c>
      <c r="E54" s="29" t="inlineStr">
        <is>
          <t>Khách không có email, bấm gửi email</t>
        </is>
      </c>
      <c r="F54" s="29" t="inlineStr">
        <is>
          <t>Báo lỗi rõ ràng</t>
        </is>
      </c>
      <c r="G54" s="7" t="n"/>
      <c r="H54" s="15" t="n"/>
      <c r="I54" s="14" t="n"/>
      <c r="J54" s="7" t="n"/>
      <c r="K54" s="14" t="n"/>
      <c r="L54" s="7" t="n"/>
      <c r="M54" s="7" t="n"/>
      <c r="N54" s="14" t="n"/>
      <c r="O54" s="7" t="n"/>
    </row>
    <row r="55">
      <c r="A55" s="27" t="inlineStr">
        <is>
          <t>BƯỚC 5: CHUYỂN BÁO GIÁ THÀNH ĐƠN HÀNG (SO)</t>
        </is>
      </c>
    </row>
    <row r="56">
      <c r="A56" s="12" t="inlineStr">
        <is>
          <t>SAL-046</t>
        </is>
      </c>
      <c r="B56" s="12" t="n">
        <v>5</v>
      </c>
      <c r="C56" s="10" t="inlineStr">
        <is>
          <t>Chuyển đơn hàng</t>
        </is>
      </c>
      <c r="D56" s="12" t="inlineStr">
        <is>
          <t>Luồng chính</t>
        </is>
      </c>
      <c r="E56" s="10" t="inlineStr">
        <is>
          <t>Bấm Chuyển đơn hàng trên báo giá đã chốt</t>
        </is>
      </c>
      <c r="F56" s="10" t="inlineStr">
        <is>
          <t>Sinh SO-YYYYMMDD-xxxx, báo giá thành "Đã chuyển đơn hàng"</t>
        </is>
      </c>
      <c r="G56" s="7" t="n"/>
      <c r="H56" s="15" t="n"/>
      <c r="I56" s="14" t="n"/>
      <c r="J56" s="7" t="n"/>
      <c r="K56" s="14" t="n"/>
      <c r="L56" s="7" t="n"/>
      <c r="M56" s="7" t="n"/>
      <c r="N56" s="14" t="n"/>
      <c r="O56" s="7" t="n"/>
    </row>
    <row r="57">
      <c r="A57" s="12" t="inlineStr">
        <is>
          <t>SAL-047</t>
        </is>
      </c>
      <c r="B57" s="12" t="n">
        <v>5</v>
      </c>
      <c r="C57" s="10" t="inlineStr">
        <is>
          <t>Chuyển đơn hàng</t>
        </is>
      </c>
      <c r="D57" s="12" t="inlineStr">
        <is>
          <t>Luồng chính</t>
        </is>
      </c>
      <c r="E57" s="10" t="inlineStr">
        <is>
          <t>Mở SO vừa tạo</t>
        </is>
      </c>
      <c r="F57" s="10" t="inlineStr">
        <is>
          <t>Đúng khách, sản phẩm, tổng tiền; loại đơn đúng (dự án / bán lẻ)</t>
        </is>
      </c>
      <c r="G57" s="7" t="n"/>
      <c r="H57" s="15" t="n"/>
      <c r="I57" s="14" t="n"/>
      <c r="J57" s="7" t="n"/>
      <c r="K57" s="14" t="n"/>
      <c r="L57" s="7" t="n"/>
      <c r="M57" s="7" t="n"/>
      <c r="N57" s="14" t="n"/>
      <c r="O57" s="7" t="n"/>
    </row>
    <row r="58">
      <c r="A58" s="28" t="inlineStr">
        <is>
          <t>SAL-048</t>
        </is>
      </c>
      <c r="B58" s="28" t="n">
        <v>5</v>
      </c>
      <c r="C58" s="29" t="inlineStr">
        <is>
          <t>Chuyển đơn hàng</t>
        </is>
      </c>
      <c r="D58" s="28" t="inlineStr">
        <is>
          <t>Phát sinh</t>
        </is>
      </c>
      <c r="E58" s="29" t="inlineStr">
        <is>
          <t>Báo giá đã quá hạn, bấm chuyển đơn</t>
        </is>
      </c>
      <c r="F58" s="29" t="inlineStr">
        <is>
          <t>Bị chặn, gợi ý nhân bản; nhân bản ra báo giá mới mã mới</t>
        </is>
      </c>
      <c r="G58" s="7" t="n"/>
      <c r="H58" s="15" t="n"/>
      <c r="I58" s="14" t="n"/>
      <c r="J58" s="7" t="n"/>
      <c r="K58" s="14" t="n"/>
      <c r="L58" s="7" t="n"/>
      <c r="M58" s="7" t="n"/>
      <c r="N58" s="14" t="n"/>
      <c r="O58" s="7" t="n"/>
    </row>
    <row r="59">
      <c r="A59" s="28" t="inlineStr">
        <is>
          <t>SAL-049</t>
        </is>
      </c>
      <c r="B59" s="28" t="n">
        <v>5</v>
      </c>
      <c r="C59" s="29" t="inlineStr">
        <is>
          <t>Chuyển đơn hàng</t>
        </is>
      </c>
      <c r="D59" s="28" t="inlineStr">
        <is>
          <t>Phát sinh</t>
        </is>
      </c>
      <c r="E59" s="29" t="inlineStr">
        <is>
          <t>Báo giá đã chuyển đơn: thử sửa / xóa / chuyển lần 2</t>
        </is>
      </c>
      <c r="F59" s="29" t="inlineStr">
        <is>
          <t>Đều bị chặn</t>
        </is>
      </c>
      <c r="G59" s="7" t="n"/>
      <c r="H59" s="15" t="n"/>
      <c r="I59" s="14" t="n"/>
      <c r="J59" s="7" t="n"/>
      <c r="K59" s="14" t="n"/>
      <c r="L59" s="7" t="n"/>
      <c r="M59" s="7" t="n"/>
      <c r="N59" s="14" t="n"/>
      <c r="O59" s="7" t="n"/>
    </row>
    <row r="60">
      <c r="A60" s="27" t="inlineStr">
        <is>
          <t>BƯỚC 6: P&amp;L, TIẾN ĐỘ THANH TOÁN, GỬI DUYỆT</t>
        </is>
      </c>
    </row>
    <row r="61">
      <c r="A61" s="12" t="inlineStr">
        <is>
          <t>SAL-050</t>
        </is>
      </c>
      <c r="B61" s="12" t="n">
        <v>6</v>
      </c>
      <c r="C61" s="10" t="inlineStr">
        <is>
          <t>P&amp;L</t>
        </is>
      </c>
      <c r="D61" s="12" t="inlineStr">
        <is>
          <t>Luồng chính</t>
        </is>
      </c>
      <c r="E61" s="10" t="inlineStr">
        <is>
          <t>Nhập giá vốn, thêm chi phí mặc định</t>
        </is>
      </c>
      <c r="F61" s="10" t="inlineStr">
        <is>
          <t>Margin và % margin tính đúng</t>
        </is>
      </c>
      <c r="G61" s="7" t="n"/>
      <c r="H61" s="15" t="n"/>
      <c r="I61" s="14" t="n"/>
      <c r="J61" s="7" t="n"/>
      <c r="K61" s="14" t="n"/>
      <c r="L61" s="7" t="n"/>
      <c r="M61" s="7" t="n"/>
      <c r="N61" s="14" t="n"/>
      <c r="O61" s="7" t="n"/>
    </row>
    <row r="62">
      <c r="A62" s="12" t="inlineStr">
        <is>
          <t>SAL-051</t>
        </is>
      </c>
      <c r="B62" s="12" t="n">
        <v>6</v>
      </c>
      <c r="C62" s="10" t="inlineStr">
        <is>
          <t>P&amp;L</t>
        </is>
      </c>
      <c r="D62" s="12" t="inlineStr">
        <is>
          <t>Luồng chính</t>
        </is>
      </c>
      <c r="E62" s="10" t="inlineStr">
        <is>
          <t>Áp mẫu tiến độ thanh toán / tự thêm đợt</t>
        </is>
      </c>
      <c r="F62" s="10" t="inlineStr">
        <is>
          <t>Các đợt hiện đúng %, số tiền, mốc</t>
        </is>
      </c>
      <c r="G62" s="7" t="n"/>
      <c r="H62" s="15" t="n"/>
      <c r="I62" s="14" t="n"/>
      <c r="J62" s="7" t="n"/>
      <c r="K62" s="14" t="n"/>
      <c r="L62" s="7" t="n"/>
      <c r="M62" s="7" t="n"/>
      <c r="N62" s="14" t="n"/>
      <c r="O62" s="7" t="n"/>
    </row>
    <row r="63">
      <c r="A63" s="12" t="inlineStr">
        <is>
          <t>SAL-052</t>
        </is>
      </c>
      <c r="B63" s="12" t="n">
        <v>6</v>
      </c>
      <c r="C63" s="10" t="inlineStr">
        <is>
          <t>P&amp;L</t>
        </is>
      </c>
      <c r="D63" s="12" t="inlineStr">
        <is>
          <t>Luồng chính</t>
        </is>
      </c>
      <c r="E63" s="10" t="inlineStr">
        <is>
          <t>Gửi duyệt P&amp;L → Legal duyệt cấp 1 → BOD duyệt cấp 2</t>
        </is>
      </c>
      <c r="F63" s="10" t="inlineStr">
        <is>
          <t>"Chờ duyệt" → "Đã duyệt" sau đủ 2 cấp, Sales nhận thông báo ở mỗi cấp</t>
        </is>
      </c>
      <c r="G63" s="7" t="n"/>
      <c r="H63" s="15" t="n"/>
      <c r="I63" s="14" t="n"/>
      <c r="J63" s="7" t="n"/>
      <c r="K63" s="14" t="n"/>
      <c r="L63" s="7" t="n"/>
      <c r="M63" s="7" t="n"/>
      <c r="N63" s="14" t="n"/>
      <c r="O63" s="7" t="n"/>
    </row>
    <row r="64">
      <c r="A64" s="12" t="inlineStr">
        <is>
          <t>SAL-053</t>
        </is>
      </c>
      <c r="B64" s="12" t="n">
        <v>6</v>
      </c>
      <c r="C64" s="10" t="inlineStr">
        <is>
          <t>P&amp;L</t>
        </is>
      </c>
      <c r="D64" s="12" t="inlineStr">
        <is>
          <t>Luồng chính</t>
        </is>
      </c>
      <c r="E64" s="10" t="inlineStr">
        <is>
          <t>Gán P.I.C phụ và tỷ lệ chia margin</t>
        </is>
      </c>
      <c r="F64" s="10" t="inlineStr">
        <is>
          <t>P.I.C phụ nhận thông báo, doanh số chia đúng tỷ lệ</t>
        </is>
      </c>
      <c r="G64" s="7" t="n"/>
      <c r="H64" s="15" t="n"/>
      <c r="I64" s="14" t="n"/>
      <c r="J64" s="7" t="n"/>
      <c r="K64" s="14" t="n"/>
      <c r="L64" s="7" t="n"/>
      <c r="M64" s="7" t="n"/>
      <c r="N64" s="14" t="n"/>
      <c r="O64" s="7" t="n"/>
    </row>
    <row r="65">
      <c r="A65" s="12" t="inlineStr">
        <is>
          <t>SAL-054</t>
        </is>
      </c>
      <c r="B65" s="12" t="n">
        <v>6</v>
      </c>
      <c r="C65" s="10" t="inlineStr">
        <is>
          <t>P&amp;L</t>
        </is>
      </c>
      <c r="D65" s="12" t="inlineStr">
        <is>
          <t>Luồng chính</t>
        </is>
      </c>
      <c r="E65" s="10" t="inlineStr">
        <is>
          <t>Tạo SO nhanh đặt Hãng (Mua hàng › Đơn hàng (Không PNL))</t>
        </is>
      </c>
      <c r="F65" s="10" t="inlineStr">
        <is>
          <t>Sinh đơn và yêu cầu đặt hàng, sản phẩm vào danh sách cần đặt</t>
        </is>
      </c>
      <c r="G65" s="7" t="n"/>
      <c r="H65" s="15" t="n"/>
      <c r="I65" s="14" t="n"/>
      <c r="J65" s="7" t="n"/>
      <c r="K65" s="14" t="n"/>
      <c r="L65" s="7" t="n"/>
      <c r="M65" s="7" t="n"/>
      <c r="N65" s="14" t="n"/>
      <c r="O65" s="7" t="n"/>
    </row>
    <row r="66">
      <c r="A66" s="28" t="inlineStr">
        <is>
          <t>SAL-055</t>
        </is>
      </c>
      <c r="B66" s="28" t="n">
        <v>6</v>
      </c>
      <c r="C66" s="29" t="inlineStr">
        <is>
          <t>P&amp;L</t>
        </is>
      </c>
      <c r="D66" s="28" t="inlineStr">
        <is>
          <t>Phát sinh</t>
        </is>
      </c>
      <c r="E66" s="29" t="inlineStr">
        <is>
          <t>Đơn vượt ngưỡng giá trị, đặt 100% thanh toán sau giao hàng</t>
        </is>
      </c>
      <c r="F66" s="29" t="inlineStr">
        <is>
          <t>Bị chặn, yêu cầu ít nhất 1 đợt trước đặt hàng / trước xuất hàng</t>
        </is>
      </c>
      <c r="G66" s="7" t="n"/>
      <c r="H66" s="15" t="n"/>
      <c r="I66" s="14" t="n"/>
      <c r="J66" s="7" t="n"/>
      <c r="K66" s="14" t="n"/>
      <c r="L66" s="7" t="n"/>
      <c r="M66" s="7" t="n"/>
      <c r="N66" s="14" t="n"/>
      <c r="O66" s="7" t="n"/>
    </row>
    <row r="67">
      <c r="A67" s="28" t="inlineStr">
        <is>
          <t>SAL-056</t>
        </is>
      </c>
      <c r="B67" s="28" t="n">
        <v>6</v>
      </c>
      <c r="C67" s="29" t="inlineStr">
        <is>
          <t>P&amp;L</t>
        </is>
      </c>
      <c r="D67" s="28" t="inlineStr">
        <is>
          <t>Phát sinh</t>
        </is>
      </c>
      <c r="E67" s="29" t="inlineStr">
        <is>
          <t>Người duyệt bấm Yêu cầu chỉnh sửa</t>
        </is>
      </c>
      <c r="F67" s="29" t="inlineStr">
        <is>
          <t>P&amp;L mở lại, Sales thấy lý do, sửa và gửi lại được</t>
        </is>
      </c>
      <c r="G67" s="7" t="n"/>
      <c r="H67" s="15" t="n"/>
      <c r="I67" s="14" t="n"/>
      <c r="J67" s="7" t="n"/>
      <c r="K67" s="14" t="n"/>
      <c r="L67" s="7" t="n"/>
      <c r="M67" s="7" t="n"/>
      <c r="N67" s="14" t="n"/>
      <c r="O67" s="7" t="n"/>
    </row>
    <row r="68">
      <c r="A68" s="28" t="inlineStr">
        <is>
          <t>SAL-057</t>
        </is>
      </c>
      <c r="B68" s="28" t="n">
        <v>6</v>
      </c>
      <c r="C68" s="29" t="inlineStr">
        <is>
          <t>P&amp;L</t>
        </is>
      </c>
      <c r="D68" s="28" t="inlineStr">
        <is>
          <t>Phát sinh</t>
        </is>
      </c>
      <c r="E68" s="29" t="inlineStr">
        <is>
          <t>Người duyệt bấm Từ chối</t>
        </is>
      </c>
      <c r="F68" s="29" t="inlineStr">
        <is>
          <t>"Từ chối (P&amp;L)", Sales nhận thông báo kèm lý do</t>
        </is>
      </c>
      <c r="G68" s="7" t="n"/>
      <c r="H68" s="15" t="n"/>
      <c r="I68" s="14" t="n"/>
      <c r="J68" s="7" t="n"/>
      <c r="K68" s="14" t="n"/>
      <c r="L68" s="7" t="n"/>
      <c r="M68" s="7" t="n"/>
      <c r="N68" s="14" t="n"/>
      <c r="O68" s="7" t="n"/>
    </row>
    <row r="69">
      <c r="A69" s="28" t="inlineStr">
        <is>
          <t>SAL-058</t>
        </is>
      </c>
      <c r="B69" s="28" t="n">
        <v>6</v>
      </c>
      <c r="C69" s="29" t="inlineStr">
        <is>
          <t>P&amp;L</t>
        </is>
      </c>
      <c r="D69" s="28" t="inlineStr">
        <is>
          <t>Phát sinh</t>
        </is>
      </c>
      <c r="E69" s="29" t="inlineStr">
        <is>
          <t>Sửa đơn / BOM / chi phí khi P&amp;L đang chờ duyệt hoặc đã duyệt</t>
        </is>
      </c>
      <c r="F69" s="29" t="inlineStr">
        <is>
          <t>Bị chặn; gửi yêu cầu mở lại P&amp;L → BOD/Quản trị viên duyệt → mở khóa</t>
        </is>
      </c>
      <c r="G69" s="7" t="n"/>
      <c r="H69" s="15" t="n"/>
      <c r="I69" s="14" t="n"/>
      <c r="J69" s="7" t="n"/>
      <c r="K69" s="14" t="n"/>
      <c r="L69" s="7" t="n"/>
      <c r="M69" s="7" t="n"/>
      <c r="N69" s="14" t="n"/>
      <c r="O69" s="7" t="n"/>
    </row>
    <row r="70">
      <c r="A70" s="28" t="inlineStr">
        <is>
          <t>SAL-059</t>
        </is>
      </c>
      <c r="B70" s="28" t="n">
        <v>6</v>
      </c>
      <c r="C70" s="29" t="inlineStr">
        <is>
          <t>P&amp;L</t>
        </is>
      </c>
      <c r="D70" s="28" t="inlineStr">
        <is>
          <t>Phát sinh</t>
        </is>
      </c>
      <c r="E70" s="29" t="inlineStr">
        <is>
          <t>Chưa cấu hình quy trình duyệt P&amp;L, bấm gửi duyệt</t>
        </is>
      </c>
      <c r="F70" s="29" t="inlineStr">
        <is>
          <t>Chuyển sang chờ duyệt thủ công, không lỗi trang</t>
        </is>
      </c>
      <c r="G70" s="7" t="n"/>
      <c r="H70" s="15" t="n"/>
      <c r="I70" s="14" t="n"/>
      <c r="J70" s="7" t="n"/>
      <c r="K70" s="14" t="n"/>
      <c r="L70" s="7" t="n"/>
      <c r="M70" s="7" t="n"/>
      <c r="N70" s="14" t="n"/>
      <c r="O70" s="7" t="n"/>
    </row>
    <row r="71">
      <c r="A71" s="28" t="inlineStr">
        <is>
          <t>SAL-060</t>
        </is>
      </c>
      <c r="B71" s="28" t="n">
        <v>6</v>
      </c>
      <c r="C71" s="29" t="inlineStr">
        <is>
          <t>P&amp;L</t>
        </is>
      </c>
      <c r="D71" s="28" t="inlineStr">
        <is>
          <t>Phát sinh</t>
        </is>
      </c>
      <c r="E71" s="29" t="inlineStr">
        <is>
          <t>Người không phải Sales phụ trách / quản lý bấm gửi duyệt</t>
        </is>
      </c>
      <c r="F71" s="29" t="inlineStr">
        <is>
          <t>Bị chặn</t>
        </is>
      </c>
      <c r="G71" s="7" t="n"/>
      <c r="H71" s="15" t="n"/>
      <c r="I71" s="14" t="n"/>
      <c r="J71" s="7" t="n"/>
      <c r="K71" s="14" t="n"/>
      <c r="L71" s="7" t="n"/>
      <c r="M71" s="7" t="n"/>
      <c r="N71" s="14" t="n"/>
      <c r="O71" s="7" t="n"/>
    </row>
    <row r="72">
      <c r="A72" s="28" t="inlineStr">
        <is>
          <t>SAL-061</t>
        </is>
      </c>
      <c r="B72" s="28" t="n">
        <v>6</v>
      </c>
      <c r="C72" s="29" t="inlineStr">
        <is>
          <t>P&amp;L</t>
        </is>
      </c>
      <c r="D72" s="28" t="inlineStr">
        <is>
          <t>Phát sinh</t>
        </is>
      </c>
      <c r="E72" s="29" t="inlineStr">
        <is>
          <t>Chọn P.I.C phụ trùng người tạo đơn</t>
        </is>
      </c>
      <c r="F72" s="29" t="inlineStr">
        <is>
          <t>Báo lỗi</t>
        </is>
      </c>
      <c r="G72" s="7" t="n"/>
      <c r="H72" s="15" t="n"/>
      <c r="I72" s="14" t="n"/>
      <c r="J72" s="7" t="n"/>
      <c r="K72" s="14" t="n"/>
      <c r="L72" s="7" t="n"/>
      <c r="M72" s="7" t="n"/>
      <c r="N72" s="14" t="n"/>
      <c r="O72" s="7" t="n"/>
    </row>
    <row r="73">
      <c r="A73" s="28" t="inlineStr">
        <is>
          <t>SAL-062</t>
        </is>
      </c>
      <c r="B73" s="28" t="n">
        <v>6</v>
      </c>
      <c r="C73" s="29" t="inlineStr">
        <is>
          <t>P&amp;L</t>
        </is>
      </c>
      <c r="D73" s="28" t="inlineStr">
        <is>
          <t>Phát sinh</t>
        </is>
      </c>
      <c r="E73" s="29" t="inlineStr">
        <is>
          <t>Đơn Trade-up thiếu S/N cho dòng HW</t>
        </is>
      </c>
      <c r="F73" s="29" t="inlineStr">
        <is>
          <t>Báo thiếu, không gửi được</t>
        </is>
      </c>
      <c r="G73" s="7" t="n"/>
      <c r="H73" s="15" t="n"/>
      <c r="I73" s="14" t="n"/>
      <c r="J73" s="7" t="n"/>
      <c r="K73" s="14" t="n"/>
      <c r="L73" s="7" t="n"/>
      <c r="M73" s="7" t="n"/>
      <c r="N73" s="14" t="n"/>
      <c r="O73" s="7" t="n"/>
    </row>
    <row r="74">
      <c r="A74" s="28" t="inlineStr">
        <is>
          <t>SAL-063</t>
        </is>
      </c>
      <c r="B74" s="28" t="n">
        <v>6</v>
      </c>
      <c r="C74" s="29" t="inlineStr">
        <is>
          <t>P&amp;L</t>
        </is>
      </c>
      <c r="D74" s="28" t="inlineStr">
        <is>
          <t>Phát sinh</t>
        </is>
      </c>
      <c r="E74" s="29" t="inlineStr">
        <is>
          <t>Nhập số quá lớn (vd % hàng tỷ)</t>
        </is>
      </c>
      <c r="F74" s="29" t="inlineStr">
        <is>
          <t>Báo vượt giới hạn, không lỗi 500</t>
        </is>
      </c>
      <c r="G74" s="7" t="n"/>
      <c r="H74" s="15" t="n"/>
      <c r="I74" s="14" t="n"/>
      <c r="J74" s="7" t="n"/>
      <c r="K74" s="14" t="n"/>
      <c r="L74" s="7" t="n"/>
      <c r="M74" s="7" t="n"/>
      <c r="N74" s="14" t="n"/>
      <c r="O74" s="7" t="n"/>
    </row>
    <row r="75">
      <c r="A75" s="28" t="inlineStr">
        <is>
          <t>SAL-064</t>
        </is>
      </c>
      <c r="B75" s="28" t="n">
        <v>6</v>
      </c>
      <c r="C75" s="29" t="inlineStr">
        <is>
          <t>Xóa / hủy đơn</t>
        </is>
      </c>
      <c r="D75" s="28" t="inlineStr">
        <is>
          <t>Phát sinh</t>
        </is>
      </c>
      <c r="E75" s="29" t="inlineStr">
        <is>
          <t>Xóa đơn nháp; xóa đơn đã duyệt / đã thanh toán / đã xuất kho</t>
        </is>
      </c>
      <c r="F75" s="29" t="inlineStr">
        <is>
          <t>Nháp: xóa được. Các trường hợp còn lại: bị chặn</t>
        </is>
      </c>
      <c r="G75" s="7" t="n"/>
      <c r="H75" s="15" t="n"/>
      <c r="I75" s="14" t="n"/>
      <c r="J75" s="7" t="n"/>
      <c r="K75" s="14" t="n"/>
      <c r="L75" s="7" t="n"/>
      <c r="M75" s="7" t="n"/>
      <c r="N75" s="14" t="n"/>
      <c r="O75" s="7" t="n"/>
    </row>
    <row r="76">
      <c r="A76" s="28" t="inlineStr">
        <is>
          <t>SAL-065</t>
        </is>
      </c>
      <c r="B76" s="28" t="n">
        <v>6</v>
      </c>
      <c r="C76" s="29" t="inlineStr">
        <is>
          <t>Xóa / hủy đơn</t>
        </is>
      </c>
      <c r="D76" s="28" t="inlineStr">
        <is>
          <t>Phát sinh</t>
        </is>
      </c>
      <c r="E76" s="29" t="inlineStr">
        <is>
          <t>Hủy đơn đã có thanh toán; hủy đơn đã có hàng về</t>
        </is>
      </c>
      <c r="F76" s="29" t="inlineStr">
        <is>
          <t>Có thanh toán: bị chặn. Có hàng về: bắt nhập lý do / chuyển quy trình trả hàng</t>
        </is>
      </c>
      <c r="G76" s="7" t="n"/>
      <c r="H76" s="15" t="n"/>
      <c r="I76" s="14" t="n"/>
      <c r="J76" s="7" t="n"/>
      <c r="K76" s="14" t="n"/>
      <c r="L76" s="7" t="n"/>
      <c r="M76" s="7" t="n"/>
      <c r="N76" s="14" t="n"/>
      <c r="O76" s="7" t="n"/>
    </row>
    <row r="77">
      <c r="A77" s="28" t="inlineStr">
        <is>
          <t>SAL-066</t>
        </is>
      </c>
      <c r="B77" s="28" t="n">
        <v>6</v>
      </c>
      <c r="C77" s="29" t="inlineStr">
        <is>
          <t>Xóa / hủy đơn</t>
        </is>
      </c>
      <c r="D77" s="28" t="inlineStr">
        <is>
          <t>Phát sinh</t>
        </is>
      </c>
      <c r="E77" s="29" t="inlineStr">
        <is>
          <t>Hủy đơn chưa có hàng</t>
        </is>
      </c>
      <c r="F77" s="29" t="inlineStr">
        <is>
          <t>Phiếu xuất liên quan bị hủy, tồn kho hoàn lại</t>
        </is>
      </c>
      <c r="G77" s="7" t="n"/>
      <c r="H77" s="15" t="n"/>
      <c r="I77" s="14" t="n"/>
      <c r="J77" s="7" t="n"/>
      <c r="K77" s="14" t="n"/>
      <c r="L77" s="7" t="n"/>
      <c r="M77" s="7" t="n"/>
      <c r="N77" s="14" t="n"/>
      <c r="O77" s="7" t="n"/>
    </row>
    <row r="78">
      <c r="A78" s="28" t="inlineStr">
        <is>
          <t>SAL-067</t>
        </is>
      </c>
      <c r="B78" s="28" t="n">
        <v>6</v>
      </c>
      <c r="C78" s="29" t="inlineStr">
        <is>
          <t>Phân quyền đơn</t>
        </is>
      </c>
      <c r="D78" s="28" t="inlineStr">
        <is>
          <t>Phát sinh</t>
        </is>
      </c>
      <c r="E78" s="29" t="inlineStr">
        <is>
          <t>Sales A xem đơn của Sales B với quyền view_own / view_group / view_all</t>
        </is>
      </c>
      <c r="F78" s="29" t="inlineStr">
        <is>
          <t>own: chỉ đơn mình; group: đơn nhóm; all: tất cả</t>
        </is>
      </c>
      <c r="G78" s="7" t="n"/>
      <c r="H78" s="15" t="n"/>
      <c r="I78" s="14" t="n"/>
      <c r="J78" s="7" t="n"/>
      <c r="K78" s="14" t="n"/>
      <c r="L78" s="7" t="n"/>
      <c r="M78" s="7" t="n"/>
      <c r="N78" s="14" t="n"/>
      <c r="O78" s="7" t="n"/>
    </row>
    <row r="79">
      <c r="A79" s="27" t="inlineStr">
        <is>
          <t>BƯỚC 7: GỬI YÊU CẦU ĐẶT HÀNG</t>
        </is>
      </c>
    </row>
    <row r="80">
      <c r="A80" s="12" t="inlineStr">
        <is>
          <t>SAL-068</t>
        </is>
      </c>
      <c r="B80" s="12" t="n">
        <v>7</v>
      </c>
      <c r="C80" s="10" t="inlineStr">
        <is>
          <t>Yêu cầu đặt hàng</t>
        </is>
      </c>
      <c r="D80" s="12" t="inlineStr">
        <is>
          <t>Luồng chính</t>
        </is>
      </c>
      <c r="E80" s="10" t="inlineStr">
        <is>
          <t>Từ SO đã duyệt P&amp;L tạo yêu cầu, đính kèm file, lưu nháp rồi gửi</t>
        </is>
      </c>
      <c r="F80" s="10" t="inlineStr">
        <is>
          <t>Lưu nháp được, gửi được → "Chờ Admin duyệt"</t>
        </is>
      </c>
      <c r="G80" s="7" t="n"/>
      <c r="H80" s="15" t="n"/>
      <c r="I80" s="14" t="n"/>
      <c r="J80" s="7" t="n"/>
      <c r="K80" s="14" t="n"/>
      <c r="L80" s="7" t="n"/>
      <c r="M80" s="7" t="n"/>
      <c r="N80" s="14" t="n"/>
      <c r="O80" s="7" t="n"/>
    </row>
    <row r="81">
      <c r="A81" s="12" t="inlineStr">
        <is>
          <t>SAL-069</t>
        </is>
      </c>
      <c r="B81" s="12" t="n">
        <v>7</v>
      </c>
      <c r="C81" s="10" t="inlineStr">
        <is>
          <t>Yêu cầu đặt hàng</t>
        </is>
      </c>
      <c r="D81" s="12" t="inlineStr">
        <is>
          <t>Luồng chính</t>
        </is>
      </c>
      <c r="E81" s="10" t="inlineStr">
        <is>
          <t>Admin duyệt</t>
        </is>
      </c>
      <c r="F81" s="10" t="inlineStr">
        <is>
          <t>Sales nhận thông báo, PO Team thấy yêu cầu ở Duyệt yêu cầu (PR)</t>
        </is>
      </c>
      <c r="G81" s="7" t="n"/>
      <c r="H81" s="15" t="n"/>
      <c r="I81" s="14" t="n"/>
      <c r="J81" s="7" t="n"/>
      <c r="K81" s="14" t="n"/>
      <c r="L81" s="7" t="n"/>
      <c r="M81" s="7" t="n"/>
      <c r="N81" s="14" t="n"/>
      <c r="O81" s="7" t="n"/>
    </row>
    <row r="82">
      <c r="A82" s="28" t="inlineStr">
        <is>
          <t>SAL-070</t>
        </is>
      </c>
      <c r="B82" s="28" t="n">
        <v>7</v>
      </c>
      <c r="C82" s="29" t="inlineStr">
        <is>
          <t>Yêu cầu đặt hàng</t>
        </is>
      </c>
      <c r="D82" s="28" t="inlineStr">
        <is>
          <t>Phát sinh</t>
        </is>
      </c>
      <c r="E82" s="29" t="inlineStr">
        <is>
          <t>Gửi không có file đính kèm</t>
        </is>
      </c>
      <c r="F82" s="29" t="inlineStr">
        <is>
          <t>Bị chặn</t>
        </is>
      </c>
      <c r="G82" s="7" t="n"/>
      <c r="H82" s="15" t="n"/>
      <c r="I82" s="14" t="n"/>
      <c r="J82" s="7" t="n"/>
      <c r="K82" s="14" t="n"/>
      <c r="L82" s="7" t="n"/>
      <c r="M82" s="7" t="n"/>
      <c r="N82" s="14" t="n"/>
      <c r="O82" s="7" t="n"/>
    </row>
    <row r="83">
      <c r="A83" s="28" t="inlineStr">
        <is>
          <t>SAL-071</t>
        </is>
      </c>
      <c r="B83" s="28" t="n">
        <v>7</v>
      </c>
      <c r="C83" s="29" t="inlineStr">
        <is>
          <t>Yêu cầu đặt hàng</t>
        </is>
      </c>
      <c r="D83" s="28" t="inlineStr">
        <is>
          <t>Phát sinh</t>
        </is>
      </c>
      <c r="E83" s="29" t="inlineStr">
        <is>
          <t>Thiếu POS-ID / EU Name / MST khi sản phẩm cần CQ riêng</t>
        </is>
      </c>
      <c r="F83" s="29" t="inlineStr">
        <is>
          <t>Bị chặn</t>
        </is>
      </c>
      <c r="G83" s="7" t="n"/>
      <c r="H83" s="15" t="n"/>
      <c r="I83" s="14" t="n"/>
      <c r="J83" s="7" t="n"/>
      <c r="K83" s="14" t="n"/>
      <c r="L83" s="7" t="n"/>
      <c r="M83" s="7" t="n"/>
      <c r="N83" s="14" t="n"/>
      <c r="O83" s="7" t="n"/>
    </row>
    <row r="84">
      <c r="A84" s="28" t="inlineStr">
        <is>
          <t>SAL-072</t>
        </is>
      </c>
      <c r="B84" s="28" t="n">
        <v>7</v>
      </c>
      <c r="C84" s="29" t="inlineStr">
        <is>
          <t>Yêu cầu đặt hàng</t>
        </is>
      </c>
      <c r="D84" s="28" t="inlineStr">
        <is>
          <t>Phát sinh</t>
        </is>
      </c>
      <c r="E84" s="29" t="inlineStr">
        <is>
          <t>Import S/N từ file sai định dạng / file rỗng</t>
        </is>
      </c>
      <c r="F84" s="29" t="inlineStr">
        <is>
          <t>Báo "Không tìm thấy số S/N nào…"</t>
        </is>
      </c>
      <c r="G84" s="7" t="n"/>
      <c r="H84" s="15" t="n"/>
      <c r="I84" s="14" t="n"/>
      <c r="J84" s="7" t="n"/>
      <c r="K84" s="14" t="n"/>
      <c r="L84" s="7" t="n"/>
      <c r="M84" s="7" t="n"/>
      <c r="N84" s="14" t="n"/>
      <c r="O84" s="7" t="n"/>
    </row>
    <row r="85">
      <c r="A85" s="28" t="inlineStr">
        <is>
          <t>SAL-073</t>
        </is>
      </c>
      <c r="B85" s="28" t="n">
        <v>7</v>
      </c>
      <c r="C85" s="29" t="inlineStr">
        <is>
          <t>Yêu cầu đặt hàng</t>
        </is>
      </c>
      <c r="D85" s="28" t="inlineStr">
        <is>
          <t>Phát sinh</t>
        </is>
      </c>
      <c r="E85" s="29" t="inlineStr">
        <is>
          <t>Admin trả về "Cần bổ sung"; Sales tạo yêu cầu mới khi đang có yêu cầu cần bổ sung</t>
        </is>
      </c>
      <c r="F85" s="29" t="inlineStr">
        <is>
          <t>Sales nhận lý do, sửa và gửi lại; tạo mới thì tự chuyển về màn sửa yêu cầu cũ</t>
        </is>
      </c>
      <c r="G85" s="7" t="n"/>
      <c r="H85" s="15" t="n"/>
      <c r="I85" s="14" t="n"/>
      <c r="J85" s="7" t="n"/>
      <c r="K85" s="14" t="n"/>
      <c r="L85" s="7" t="n"/>
      <c r="M85" s="7" t="n"/>
      <c r="N85" s="14" t="n"/>
      <c r="O85" s="7" t="n"/>
    </row>
    <row r="86">
      <c r="A86" s="28" t="inlineStr">
        <is>
          <t>SAL-074</t>
        </is>
      </c>
      <c r="B86" s="28" t="n">
        <v>7</v>
      </c>
      <c r="C86" s="29" t="inlineStr">
        <is>
          <t>Yêu cầu đặt hàng</t>
        </is>
      </c>
      <c r="D86" s="28" t="inlineStr">
        <is>
          <t>Phát sinh</t>
        </is>
      </c>
      <c r="E86" s="29" t="inlineStr">
        <is>
          <t>Admin trả về để chỉnh lại P&amp;L</t>
        </is>
      </c>
      <c r="F86" s="29" t="inlineStr">
        <is>
          <t>P&amp;L mở lại cho Sales</t>
        </is>
      </c>
      <c r="G86" s="7" t="n"/>
      <c r="H86" s="15" t="n"/>
      <c r="I86" s="14" t="n"/>
      <c r="J86" s="7" t="n"/>
      <c r="K86" s="14" t="n"/>
      <c r="L86" s="7" t="n"/>
      <c r="M86" s="7" t="n"/>
      <c r="N86" s="14" t="n"/>
      <c r="O86" s="7" t="n"/>
    </row>
    <row r="87">
      <c r="A87" s="28" t="inlineStr">
        <is>
          <t>SAL-075</t>
        </is>
      </c>
      <c r="B87" s="28" t="n">
        <v>7</v>
      </c>
      <c r="C87" s="29" t="inlineStr">
        <is>
          <t>Yêu cầu đặt hàng</t>
        </is>
      </c>
      <c r="D87" s="28" t="inlineStr">
        <is>
          <t>Phát sinh</t>
        </is>
      </c>
      <c r="E87" s="29" t="inlineStr">
        <is>
          <t>Sửa yêu cầu đã gửi (không ở trạng thái nháp / cần bổ sung)</t>
        </is>
      </c>
      <c r="F87" s="29" t="inlineStr">
        <is>
          <t>Bị chặn</t>
        </is>
      </c>
      <c r="G87" s="7" t="n"/>
      <c r="H87" s="15" t="n"/>
      <c r="I87" s="14" t="n"/>
      <c r="J87" s="7" t="n"/>
      <c r="K87" s="14" t="n"/>
      <c r="L87" s="7" t="n"/>
      <c r="M87" s="7" t="n"/>
      <c r="N87" s="14" t="n"/>
      <c r="O87" s="7" t="n"/>
    </row>
    <row r="88">
      <c r="A88" s="27" t="inlineStr">
        <is>
          <t>BƯỚC 8: THEO DÕI HÀNG VỀ</t>
        </is>
      </c>
    </row>
    <row r="89">
      <c r="A89" s="12" t="inlineStr">
        <is>
          <t>SAL-076</t>
        </is>
      </c>
      <c r="B89" s="12" t="n">
        <v>8</v>
      </c>
      <c r="C89" s="10" t="inlineStr">
        <is>
          <t>Theo dõi hàng về</t>
        </is>
      </c>
      <c r="D89" s="12" t="inlineStr">
        <is>
          <t>Luồng chính</t>
        </is>
      </c>
      <c r="E89" s="10" t="inlineStr">
        <is>
          <t>Mở Theo dõi hàng về sau mỗi bước của PO</t>
        </is>
      </c>
      <c r="F89" s="10" t="inlineStr">
        <is>
          <t>Hiển thị đúng: Chờ đặt hàng → Đã đặt → Chờ hàng về (ETD/ETA) → Hàng đã về</t>
        </is>
      </c>
      <c r="G89" s="7" t="n"/>
      <c r="H89" s="15" t="n"/>
      <c r="I89" s="14" t="n"/>
      <c r="J89" s="7" t="n"/>
      <c r="K89" s="14" t="n"/>
      <c r="L89" s="7" t="n"/>
      <c r="M89" s="7" t="n"/>
      <c r="N89" s="14" t="n"/>
      <c r="O89" s="7" t="n"/>
    </row>
    <row r="90">
      <c r="A90" s="28" t="inlineStr">
        <is>
          <t>SAL-077</t>
        </is>
      </c>
      <c r="B90" s="28" t="n">
        <v>8</v>
      </c>
      <c r="C90" s="29" t="inlineStr">
        <is>
          <t>Theo dõi hàng về</t>
        </is>
      </c>
      <c r="D90" s="28" t="inlineStr">
        <is>
          <t>Phát sinh</t>
        </is>
      </c>
      <c r="E90" s="29" t="inlineStr">
        <is>
          <t>PO Team Hold PO</t>
        </is>
      </c>
      <c r="F90" s="29" t="inlineStr">
        <is>
          <t>Sales nhận thông báo kèm lý do, SO hiện Hold</t>
        </is>
      </c>
      <c r="G90" s="7" t="n"/>
      <c r="H90" s="15" t="n"/>
      <c r="I90" s="14" t="n"/>
      <c r="J90" s="7" t="n"/>
      <c r="K90" s="14" t="n"/>
      <c r="L90" s="7" t="n"/>
      <c r="M90" s="7" t="n"/>
      <c r="N90" s="14" t="n"/>
      <c r="O90" s="7" t="n"/>
    </row>
    <row r="91">
      <c r="A91" s="27" t="inlineStr">
        <is>
          <t>BƯỚC 9: YÊU CẦU XUẤT HÓA ĐƠN &amp; XUẤT KHO</t>
        </is>
      </c>
    </row>
    <row r="92">
      <c r="A92" s="12" t="inlineStr">
        <is>
          <t>SAL-078</t>
        </is>
      </c>
      <c r="B92" s="12" t="n">
        <v>9</v>
      </c>
      <c r="C92" s="10" t="inlineStr">
        <is>
          <t>Hóa đơn &amp; xuất kho</t>
        </is>
      </c>
      <c r="D92" s="12" t="inlineStr">
        <is>
          <t>Luồng chính</t>
        </is>
      </c>
      <c r="E92" s="10" t="inlineStr">
        <is>
          <t>Tạo yêu cầu xuất HĐ cần HĐ nháp → KT upload nháp → Sales xác nhận → KT xuất chính thức</t>
        </is>
      </c>
      <c r="F92" s="10" t="inlineStr">
        <is>
          <t>Mỗi bước đổi trạng thái đúng, đúng người nhận thông báo</t>
        </is>
      </c>
      <c r="G92" s="7" t="n"/>
      <c r="H92" s="15" t="n"/>
      <c r="I92" s="14" t="n"/>
      <c r="J92" s="7" t="n"/>
      <c r="K92" s="14" t="n"/>
      <c r="L92" s="7" t="n"/>
      <c r="M92" s="7" t="n"/>
      <c r="N92" s="14" t="n"/>
      <c r="O92" s="7" t="n"/>
    </row>
    <row r="93">
      <c r="A93" s="12" t="inlineStr">
        <is>
          <t>SAL-079</t>
        </is>
      </c>
      <c r="B93" s="12" t="n">
        <v>9</v>
      </c>
      <c r="C93" s="10" t="inlineStr">
        <is>
          <t>Hóa đơn &amp; xuất kho</t>
        </is>
      </c>
      <c r="D93" s="12" t="inlineStr">
        <is>
          <t>Luồng chính</t>
        </is>
      </c>
      <c r="E93" s="10" t="inlineStr">
        <is>
          <t>Gửi đề xuất xuất kho (toàn bộ hoặc một phần)</t>
        </is>
      </c>
      <c r="F93" s="10" t="inlineStr">
        <is>
          <t>Phiếu "Chờ Admin duyệt xuất", Kho nhận thông báo chuẩn bị hàng</t>
        </is>
      </c>
      <c r="G93" s="7" t="n"/>
      <c r="H93" s="15" t="n"/>
      <c r="I93" s="14" t="n"/>
      <c r="J93" s="7" t="n"/>
      <c r="K93" s="14" t="n"/>
      <c r="L93" s="7" t="n"/>
      <c r="M93" s="7" t="n"/>
      <c r="N93" s="14" t="n"/>
      <c r="O93" s="7" t="n"/>
    </row>
    <row r="94">
      <c r="A94" s="12" t="inlineStr">
        <is>
          <t>SAL-080</t>
        </is>
      </c>
      <c r="B94" s="12" t="n">
        <v>9</v>
      </c>
      <c r="C94" s="10" t="inlineStr">
        <is>
          <t>Hóa đơn &amp; xuất kho</t>
        </is>
      </c>
      <c r="D94" s="12" t="inlineStr">
        <is>
          <t>Luồng chính</t>
        </is>
      </c>
      <c r="E94" s="10" t="inlineStr">
        <is>
          <t>Cập nhật ngày giao hàng</t>
        </is>
      </c>
      <c r="F94" s="10" t="inlineStr">
        <is>
          <t>Hạn các đợt "sau giao hàng" được tính lại</t>
        </is>
      </c>
      <c r="G94" s="7" t="n"/>
      <c r="H94" s="15" t="n"/>
      <c r="I94" s="14" t="n"/>
      <c r="J94" s="7" t="n"/>
      <c r="K94" s="14" t="n"/>
      <c r="L94" s="7" t="n"/>
      <c r="M94" s="7" t="n"/>
      <c r="N94" s="14" t="n"/>
      <c r="O94" s="7" t="n"/>
    </row>
    <row r="95">
      <c r="A95" s="28" t="inlineStr">
        <is>
          <t>SAL-081</t>
        </is>
      </c>
      <c r="B95" s="28" t="n">
        <v>9</v>
      </c>
      <c r="C95" s="29" t="inlineStr">
        <is>
          <t>Hóa đơn &amp; xuất kho</t>
        </is>
      </c>
      <c r="D95" s="28" t="inlineStr">
        <is>
          <t>Phát sinh</t>
        </is>
      </c>
      <c r="E95" s="29" t="inlineStr">
        <is>
          <t>Hàng chưa về đủ mà yêu cầu giao hàng</t>
        </is>
      </c>
      <c r="F95" s="29" t="inlineStr">
        <is>
          <t>Báo "Hàng chưa về đủ…"</t>
        </is>
      </c>
      <c r="G95" s="7" t="n"/>
      <c r="H95" s="15" t="n"/>
      <c r="I95" s="14" t="n"/>
      <c r="J95" s="7" t="n"/>
      <c r="K95" s="14" t="n"/>
      <c r="L95" s="7" t="n"/>
      <c r="M95" s="7" t="n"/>
      <c r="N95" s="14" t="n"/>
      <c r="O95" s="7" t="n"/>
    </row>
    <row r="96">
      <c r="A96" s="28" t="inlineStr">
        <is>
          <t>SAL-082</t>
        </is>
      </c>
      <c r="B96" s="28" t="n">
        <v>9</v>
      </c>
      <c r="C96" s="29" t="inlineStr">
        <is>
          <t>Hóa đơn &amp; xuất kho</t>
        </is>
      </c>
      <c r="D96" s="28" t="inlineStr">
        <is>
          <t>Phát sinh</t>
        </is>
      </c>
      <c r="E96" s="29" t="inlineStr">
        <is>
          <t>Đề xuất xuất số lượng vượt số còn lại</t>
        </is>
      </c>
      <c r="F96" s="29" t="inlineStr">
        <is>
          <t>Bị chặn, báo số còn lại cụ thể</t>
        </is>
      </c>
      <c r="G96" s="7" t="n"/>
      <c r="H96" s="15" t="n"/>
      <c r="I96" s="14" t="n"/>
      <c r="J96" s="7" t="n"/>
      <c r="K96" s="14" t="n"/>
      <c r="L96" s="7" t="n"/>
      <c r="M96" s="7" t="n"/>
      <c r="N96" s="14" t="n"/>
      <c r="O96" s="7" t="n"/>
    </row>
    <row r="97">
      <c r="A97" s="28" t="inlineStr">
        <is>
          <t>SAL-083</t>
        </is>
      </c>
      <c r="B97" s="28" t="n">
        <v>9</v>
      </c>
      <c r="C97" s="29" t="inlineStr">
        <is>
          <t>Hóa đơn &amp; xuất kho</t>
        </is>
      </c>
      <c r="D97" s="28" t="inlineStr">
        <is>
          <t>Phát sinh</t>
        </is>
      </c>
      <c r="E97" s="29" t="inlineStr">
        <is>
          <t>Giao hàng khi phiếu xuất chưa duyệt</t>
        </is>
      </c>
      <c r="F97" s="29" t="inlineStr">
        <is>
          <t>Bị chặn</t>
        </is>
      </c>
      <c r="G97" s="7" t="n"/>
      <c r="H97" s="15" t="n"/>
      <c r="I97" s="14" t="n"/>
      <c r="J97" s="7" t="n"/>
      <c r="K97" s="14" t="n"/>
      <c r="L97" s="7" t="n"/>
      <c r="M97" s="7" t="n"/>
      <c r="N97" s="14" t="n"/>
      <c r="O97" s="7" t="n"/>
    </row>
    <row r="98">
      <c r="A98" s="28" t="inlineStr">
        <is>
          <t>SAL-084</t>
        </is>
      </c>
      <c r="B98" s="28" t="n">
        <v>9</v>
      </c>
      <c r="C98" s="29" t="inlineStr">
        <is>
          <t>Hóa đơn &amp; xuất kho</t>
        </is>
      </c>
      <c r="D98" s="28" t="inlineStr">
        <is>
          <t>Phát sinh</t>
        </is>
      </c>
      <c r="E98" s="29" t="inlineStr">
        <is>
          <t>Sales báo HĐ nháp chưa chính xác</t>
        </is>
      </c>
      <c r="F98" s="29" t="inlineStr">
        <is>
          <t>KT import lại v2, Sales nhận thông báo kiểm tra lại</t>
        </is>
      </c>
      <c r="G98" s="7" t="n"/>
      <c r="H98" s="15" t="n"/>
      <c r="I98" s="14" t="n"/>
      <c r="J98" s="7" t="n"/>
      <c r="K98" s="14" t="n"/>
      <c r="L98" s="7" t="n"/>
      <c r="M98" s="7" t="n"/>
      <c r="N98" s="14" t="n"/>
      <c r="O98" s="7" t="n"/>
    </row>
    <row r="99">
      <c r="A99" s="28" t="inlineStr">
        <is>
          <t>SAL-085</t>
        </is>
      </c>
      <c r="B99" s="28" t="n">
        <v>9</v>
      </c>
      <c r="C99" s="29" t="inlineStr">
        <is>
          <t>Hóa đơn &amp; xuất kho</t>
        </is>
      </c>
      <c r="D99" s="28" t="inlineStr">
        <is>
          <t>Phát sinh</t>
        </is>
      </c>
      <c r="E99" s="29" t="inlineStr">
        <is>
          <t>Hủy yêu cầu xuất HĐ đã được xử lý</t>
        </is>
      </c>
      <c r="F99" s="29" t="inlineStr">
        <is>
          <t>Bị chặn</t>
        </is>
      </c>
      <c r="G99" s="7" t="n"/>
      <c r="H99" s="15" t="n"/>
      <c r="I99" s="14" t="n"/>
      <c r="J99" s="7" t="n"/>
      <c r="K99" s="14" t="n"/>
      <c r="L99" s="7" t="n"/>
      <c r="M99" s="7" t="n"/>
      <c r="N99" s="14" t="n"/>
      <c r="O99" s="7" t="n"/>
    </row>
    <row r="100">
      <c r="A100" s="27" t="inlineStr">
        <is>
          <t>BƯỚC 10: THU TIỀN TỪNG ĐỢT</t>
        </is>
      </c>
    </row>
    <row r="101">
      <c r="A101" s="12" t="inlineStr">
        <is>
          <t>SAL-086</t>
        </is>
      </c>
      <c r="B101" s="12" t="n">
        <v>10</v>
      </c>
      <c r="C101" s="10" t="inlineStr">
        <is>
          <t>Thanh toán</t>
        </is>
      </c>
      <c r="D101" s="12" t="inlineStr">
        <is>
          <t>Luồng chính</t>
        </is>
      </c>
      <c r="E101" s="10" t="inlineStr">
        <is>
          <t>Upload UNC cho đợt → KT xác nhận</t>
        </is>
      </c>
      <c r="F101" s="10" t="inlineStr">
        <is>
          <t>Công nợ giảm, bước bị khóa (đặt hàng / xuất hàng) được mở</t>
        </is>
      </c>
      <c r="G101" s="7" t="n"/>
      <c r="H101" s="15" t="n"/>
      <c r="I101" s="14" t="n"/>
      <c r="J101" s="7" t="n"/>
      <c r="K101" s="14" t="n"/>
      <c r="L101" s="7" t="n"/>
      <c r="M101" s="7" t="n"/>
      <c r="N101" s="14" t="n"/>
      <c r="O101" s="7" t="n"/>
    </row>
    <row r="102">
      <c r="A102" s="28" t="inlineStr">
        <is>
          <t>SAL-087</t>
        </is>
      </c>
      <c r="B102" s="28" t="n">
        <v>10</v>
      </c>
      <c r="C102" s="29" t="inlineStr">
        <is>
          <t>Thanh toán</t>
        </is>
      </c>
      <c r="D102" s="28" t="inlineStr">
        <is>
          <t>Phát sinh</t>
        </is>
      </c>
      <c r="E102" s="29" t="inlineStr">
        <is>
          <t>Đợt "trước xuất hàng" chưa thanh toán, thử xuất kho</t>
        </is>
      </c>
      <c r="F102" s="29" t="inlineStr">
        <is>
          <t>Không xuất được đến khi KT xác nhận hoặc BOD duyệt ngoại lệ</t>
        </is>
      </c>
      <c r="G102" s="7" t="n"/>
      <c r="H102" s="15" t="n"/>
      <c r="I102" s="14" t="n"/>
      <c r="J102" s="7" t="n"/>
      <c r="K102" s="14" t="n"/>
      <c r="L102" s="7" t="n"/>
      <c r="M102" s="7" t="n"/>
      <c r="N102" s="14" t="n"/>
      <c r="O102" s="7" t="n"/>
    </row>
    <row r="103">
      <c r="A103" s="28" t="inlineStr">
        <is>
          <t>SAL-088</t>
        </is>
      </c>
      <c r="B103" s="28" t="n">
        <v>10</v>
      </c>
      <c r="C103" s="29" t="inlineStr">
        <is>
          <t>Thanh toán</t>
        </is>
      </c>
      <c r="D103" s="28" t="inlineStr">
        <is>
          <t>Phát sinh</t>
        </is>
      </c>
      <c r="E103" s="29" t="inlineStr">
        <is>
          <t>Xin ngoại lệ → BOD duyệt hoặc ủy quyền người khác; người không phải BOD bấm ủy quyền</t>
        </is>
      </c>
      <c r="F103" s="29" t="inlineStr">
        <is>
          <t>Người được ủy quyền nhận thông báo, duyệt được; không phải BOD: bị chặn</t>
        </is>
      </c>
      <c r="G103" s="7" t="n"/>
      <c r="H103" s="15" t="n"/>
      <c r="I103" s="14" t="n"/>
      <c r="J103" s="7" t="n"/>
      <c r="K103" s="14" t="n"/>
      <c r="L103" s="7" t="n"/>
      <c r="M103" s="7" t="n"/>
      <c r="N103" s="14" t="n"/>
      <c r="O103" s="7" t="n"/>
    </row>
    <row r="104">
      <c r="A104" s="28" t="inlineStr">
        <is>
          <t>SAL-089</t>
        </is>
      </c>
      <c r="B104" s="28" t="n">
        <v>10</v>
      </c>
      <c r="C104" s="29" t="inlineStr">
        <is>
          <t>Thanh toán</t>
        </is>
      </c>
      <c r="D104" s="28" t="inlineStr">
        <is>
          <t>Phát sinh</t>
        </is>
      </c>
      <c r="E104" s="29" t="inlineStr">
        <is>
          <t>KT từ chối UNC</t>
        </is>
      </c>
      <c r="F104" s="29" t="inlineStr">
        <is>
          <t>Sales nhận thông báo kèm lý do, upload lại được</t>
        </is>
      </c>
      <c r="G104" s="7" t="n"/>
      <c r="H104" s="15" t="n"/>
      <c r="I104" s="14" t="n"/>
      <c r="J104" s="7" t="n"/>
      <c r="K104" s="14" t="n"/>
      <c r="L104" s="7" t="n"/>
      <c r="M104" s="7" t="n"/>
      <c r="N104" s="14" t="n"/>
      <c r="O104" s="7" t="n"/>
    </row>
    <row r="105">
      <c r="A105" s="28" t="inlineStr">
        <is>
          <t>SAL-090</t>
        </is>
      </c>
      <c r="B105" s="28" t="n">
        <v>10</v>
      </c>
      <c r="C105" s="29" t="inlineStr">
        <is>
          <t>Thanh toán</t>
        </is>
      </c>
      <c r="D105" s="28" t="inlineStr">
        <is>
          <t>Phát sinh</t>
        </is>
      </c>
      <c r="E105" s="29" t="inlineStr">
        <is>
          <t>Xóa đợt đã hoàn thành hoặc đợt từ mẫu (không phải MANUAL)</t>
        </is>
      </c>
      <c r="F105" s="29" t="inlineStr">
        <is>
          <t>Bị chặn</t>
        </is>
      </c>
      <c r="G105" s="7" t="n"/>
      <c r="H105" s="15" t="n"/>
      <c r="I105" s="14" t="n"/>
      <c r="J105" s="7" t="n"/>
      <c r="K105" s="14" t="n"/>
      <c r="L105" s="7" t="n"/>
      <c r="M105" s="7" t="n"/>
      <c r="N105" s="14" t="n"/>
      <c r="O105" s="7" t="n"/>
    </row>
    <row r="106">
      <c r="A106" s="28" t="inlineStr">
        <is>
          <t>SAL-091</t>
        </is>
      </c>
      <c r="B106" s="28" t="n">
        <v>10</v>
      </c>
      <c r="C106" s="29" t="inlineStr">
        <is>
          <t>Thanh toán</t>
        </is>
      </c>
      <c r="D106" s="28" t="inlineStr">
        <is>
          <t>Phát sinh</t>
        </is>
      </c>
      <c r="E106" s="29" t="inlineStr">
        <is>
          <t>Đợt thanh toán quá hạn</t>
        </is>
      </c>
      <c r="F106" s="29" t="inlineStr">
        <is>
          <t>Đơn hiện cảnh báo, chi phí lãi vay quá hạn tính vào P&amp;L</t>
        </is>
      </c>
      <c r="G106" s="7" t="n"/>
      <c r="H106" s="15" t="n"/>
      <c r="I106" s="14" t="n"/>
      <c r="J106" s="7" t="n"/>
      <c r="K106" s="14" t="n"/>
      <c r="L106" s="7" t="n"/>
      <c r="M106" s="7" t="n"/>
      <c r="N106" s="14" t="n"/>
      <c r="O106" s="7" t="n"/>
    </row>
    <row r="107">
      <c r="A107" s="27" t="inlineStr">
        <is>
          <t>BƯỚC 11: ĐẶT PHÒNG HỌP</t>
        </is>
      </c>
    </row>
    <row r="108">
      <c r="A108" s="12" t="inlineStr">
        <is>
          <t>SAL-092</t>
        </is>
      </c>
      <c r="B108" s="12" t="n">
        <v>11</v>
      </c>
      <c r="C108" s="10" t="inlineStr">
        <is>
          <t>Phòng họp</t>
        </is>
      </c>
      <c r="D108" s="12" t="inlineStr">
        <is>
          <t>Luồng chính</t>
        </is>
      </c>
      <c r="E108" s="10" t="inlineStr">
        <is>
          <t>Đặt phòng, mời người dự; người được mời phản hồi</t>
        </is>
      </c>
      <c r="F108" s="10" t="inlineStr">
        <is>
          <t>Họ nhận lời mời, phản hồi được</t>
        </is>
      </c>
      <c r="G108" s="7" t="n"/>
      <c r="H108" s="15" t="n"/>
      <c r="I108" s="14" t="n"/>
      <c r="J108" s="7" t="n"/>
      <c r="K108" s="14" t="n"/>
      <c r="L108" s="7" t="n"/>
      <c r="M108" s="7" t="n"/>
      <c r="N108" s="14" t="n"/>
      <c r="O108" s="7" t="n"/>
    </row>
    <row r="109">
      <c r="A109" s="28" t="inlineStr">
        <is>
          <t>SAL-093</t>
        </is>
      </c>
      <c r="B109" s="28" t="n">
        <v>11</v>
      </c>
      <c r="C109" s="29" t="inlineStr">
        <is>
          <t>Phòng họp</t>
        </is>
      </c>
      <c r="D109" s="28" t="inlineStr">
        <is>
          <t>Phát sinh</t>
        </is>
      </c>
      <c r="E109" s="29" t="inlineStr">
        <is>
          <t>Đặt trùng khung giờ</t>
        </is>
      </c>
      <c r="F109" s="29" t="inlineStr">
        <is>
          <t>Báo "Phòng họp này đã có người đặt…"</t>
        </is>
      </c>
      <c r="G109" s="7" t="n"/>
      <c r="H109" s="15" t="n"/>
      <c r="I109" s="14" t="n"/>
      <c r="J109" s="7" t="n"/>
      <c r="K109" s="14" t="n"/>
      <c r="L109" s="7" t="n"/>
      <c r="M109" s="7" t="n"/>
      <c r="N109" s="14" t="n"/>
      <c r="O109" s="7" t="n"/>
    </row>
    <row r="110">
      <c r="A110" s="28" t="inlineStr">
        <is>
          <t>SAL-094</t>
        </is>
      </c>
      <c r="B110" s="28" t="n">
        <v>11</v>
      </c>
      <c r="C110" s="29" t="inlineStr">
        <is>
          <t>Phòng họp</t>
        </is>
      </c>
      <c r="D110" s="28" t="inlineStr">
        <is>
          <t>Phát sinh</t>
        </is>
      </c>
      <c r="E110" s="29" t="inlineStr">
        <is>
          <t>Giờ kết thúc trước giờ bắt đầu; thiếu phòng / ngày / giờ / tiêu đề</t>
        </is>
      </c>
      <c r="F110" s="29" t="inlineStr">
        <is>
          <t>Bị chặn / báo bắt buộc</t>
        </is>
      </c>
      <c r="G110" s="7" t="n"/>
      <c r="H110" s="15" t="n"/>
      <c r="I110" s="14" t="n"/>
      <c r="J110" s="7" t="n"/>
      <c r="K110" s="14" t="n"/>
      <c r="L110" s="7" t="n"/>
      <c r="M110" s="7" t="n"/>
      <c r="N110" s="14" t="n"/>
      <c r="O110" s="7" t="n"/>
    </row>
    <row r="111">
      <c r="A111" s="28" t="inlineStr">
        <is>
          <t>SAL-095</t>
        </is>
      </c>
      <c r="B111" s="28" t="n">
        <v>11</v>
      </c>
      <c r="C111" s="29" t="inlineStr">
        <is>
          <t>Phòng họp</t>
        </is>
      </c>
      <c r="D111" s="28" t="inlineStr">
        <is>
          <t>Phát sinh</t>
        </is>
      </c>
      <c r="E111" s="29" t="inlineStr">
        <is>
          <t>Người không đặt sửa / hủy lịch; xóa phòng có lịch sắp tới; tạo phòng trùng tên</t>
        </is>
      </c>
      <c r="F111" s="29" t="inlineStr">
        <is>
          <t>Đều bị chặn</t>
        </is>
      </c>
      <c r="G111" s="7" t="n"/>
      <c r="H111" s="15" t="n"/>
      <c r="I111" s="14" t="n"/>
      <c r="J111" s="7" t="n"/>
      <c r="K111" s="14" t="n"/>
      <c r="L111" s="7" t="n"/>
      <c r="M111" s="7" t="n"/>
      <c r="N111" s="14" t="n"/>
      <c r="O111" s="7" t="n"/>
    </row>
    <row r="112">
      <c r="A112" s="27" t="inlineStr">
        <is>
          <t>BƯỚC 12: BÁO CÁO BÁN HÀNG &amp; TẦN SUẤT GẶP</t>
        </is>
      </c>
    </row>
    <row r="113">
      <c r="A113" s="12" t="inlineStr">
        <is>
          <t>SAL-096</t>
        </is>
      </c>
      <c r="B113" s="12" t="n">
        <v>12</v>
      </c>
      <c r="C113" s="10" t="inlineStr">
        <is>
          <t>Báo cáo</t>
        </is>
      </c>
      <c r="D113" s="12" t="inlineStr">
        <is>
          <t>Luồng chính</t>
        </is>
      </c>
      <c r="E113" s="10" t="inlineStr">
        <is>
          <t>Mở Báo cáo tần suất gặp, lọc theo Sales / kỳ</t>
        </is>
      </c>
      <c r="F113" s="10" t="inlineStr">
        <is>
          <t>Số lần gặp khớp các hoạt động cơ hội đã hoàn thành</t>
        </is>
      </c>
      <c r="G113" s="7" t="n"/>
      <c r="H113" s="15" t="n"/>
      <c r="I113" s="14" t="n"/>
      <c r="J113" s="7" t="n"/>
      <c r="K113" s="14" t="n"/>
      <c r="L113" s="7" t="n"/>
      <c r="M113" s="7" t="n"/>
      <c r="N113" s="14" t="n"/>
      <c r="O113" s="7" t="n"/>
    </row>
    <row r="114">
      <c r="A114" s="12" t="inlineStr">
        <is>
          <t>SAL-097</t>
        </is>
      </c>
      <c r="B114" s="12" t="n">
        <v>12</v>
      </c>
      <c r="C114" s="10" t="inlineStr">
        <is>
          <t>Báo cáo</t>
        </is>
      </c>
      <c r="D114" s="12" t="inlineStr">
        <is>
          <t>Luồng chính</t>
        </is>
      </c>
      <c r="E114" s="10" t="inlineStr">
        <is>
          <t>Mở Báo cáo bán hàng, lọc kỳ, xuất Excel và xuất báo cáo margin</t>
        </is>
      </c>
      <c r="F114" s="10" t="inlineStr">
        <is>
          <t>Doanh thu, margin khớp các SO trong kỳ; file mở được</t>
        </is>
      </c>
      <c r="G114" s="7" t="n"/>
      <c r="H114" s="15" t="n"/>
      <c r="I114" s="14" t="n"/>
      <c r="J114" s="7" t="n"/>
      <c r="K114" s="14" t="n"/>
      <c r="L114" s="7" t="n"/>
      <c r="M114" s="7" t="n"/>
      <c r="N114" s="14" t="n"/>
      <c r="O114" s="7" t="n"/>
    </row>
    <row r="115">
      <c r="A115" s="28" t="inlineStr">
        <is>
          <t>SAL-098</t>
        </is>
      </c>
      <c r="B115" s="28" t="n">
        <v>12</v>
      </c>
      <c r="C115" s="29" t="inlineStr">
        <is>
          <t>Báo cáo</t>
        </is>
      </c>
      <c r="D115" s="28" t="inlineStr">
        <is>
          <t>Phát sinh</t>
        </is>
      </c>
      <c r="E115" s="29" t="inlineStr">
        <is>
          <t>Sales thường mở báo cáo của Sales khác</t>
        </is>
      </c>
      <c r="F115" s="29" t="inlineStr">
        <is>
          <t>Chỉ thấy phạm vi được phân quyền</t>
        </is>
      </c>
      <c r="G115" s="7" t="n"/>
      <c r="H115" s="15" t="n"/>
      <c r="I115" s="14" t="n"/>
      <c r="J115" s="7" t="n"/>
      <c r="K115" s="14" t="n"/>
      <c r="L115" s="7" t="n"/>
      <c r="M115" s="7" t="n"/>
      <c r="N115" s="14" t="n"/>
      <c r="O115" s="7" t="n"/>
    </row>
  </sheetData>
  <autoFilter ref="A5:O115"/>
  <mergeCells count="15">
    <mergeCell ref="A55:O55"/>
    <mergeCell ref="A26:O26"/>
    <mergeCell ref="A16:O16"/>
    <mergeCell ref="A2:O2"/>
    <mergeCell ref="A107:O107"/>
    <mergeCell ref="A60:O60"/>
    <mergeCell ref="A112:O112"/>
    <mergeCell ref="A1:O1"/>
    <mergeCell ref="A79:O79"/>
    <mergeCell ref="A6:O6"/>
    <mergeCell ref="A88:O88"/>
    <mergeCell ref="A40:O40"/>
    <mergeCell ref="A100:O100"/>
    <mergeCell ref="A3:O3"/>
    <mergeCell ref="A91:O91"/>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4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SALES MANAGER (TRƯỞNG PHÒNG KINH DOANH)</t>
        </is>
      </c>
    </row>
    <row r="2" ht="16" customHeight="1">
      <c r="A2" s="21" t="inlineStr">
        <is>
          <t>Tài khoản test: Sales Manager; 2 Sales Staff trong nhóm của Sales Manager; 1 Sales Staff ở nhóm khác (để thử phạm vi xem)</t>
        </is>
      </c>
    </row>
    <row r="3" ht="48" customHeight="1">
      <c r="A3" s="5" t="inlineStr">
        <is>
          <t>Sales Manager quản lý một nhóm Sales: xem toàn bộ dữ liệu của nhóm, xác nhận hoạt động gặp khách, phân P.I.C phụ và tỷ lệ chia margin, rà P&amp;L và gửi duyệt thay Sales, đôn đốc công nợ. Sales Manager KHÔNG duyệt P&amp;L — P&amp;L do Legal (cấp 1) rồi BOD (cấp 2) duyệt. Theo code, Sales Manager cũng được duyệt yêu cầu đặt hàng như Admin.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XEM DỮ LIỆU CỦA NHÓM</t>
        </is>
      </c>
    </row>
    <row r="7">
      <c r="A7" s="12" t="inlineStr">
        <is>
          <t>SM-001</t>
        </is>
      </c>
      <c r="B7" s="12" t="n">
        <v>1</v>
      </c>
      <c r="C7" s="10" t="inlineStr">
        <is>
          <t>Phạm vi xem</t>
        </is>
      </c>
      <c r="D7" s="12" t="inlineStr">
        <is>
          <t>Luồng chính</t>
        </is>
      </c>
      <c r="E7" s="10" t="inlineStr">
        <is>
          <t>Đăng nhập Sales Manager, mở Khách hàng / Báo giá / Đơn hàng bán</t>
        </is>
      </c>
      <c r="F7" s="10" t="inlineStr">
        <is>
          <t>Thấy dữ liệu của mình và các thành viên trong nhóm</t>
        </is>
      </c>
      <c r="G7" s="7" t="n"/>
      <c r="H7" s="15" t="n"/>
      <c r="I7" s="14" t="n"/>
      <c r="J7" s="7" t="n"/>
      <c r="K7" s="14" t="n"/>
      <c r="L7" s="7" t="n"/>
      <c r="M7" s="7" t="n"/>
      <c r="N7" s="14" t="n"/>
      <c r="O7" s="7" t="n"/>
    </row>
    <row r="8">
      <c r="A8" s="28" t="inlineStr">
        <is>
          <t>SM-002</t>
        </is>
      </c>
      <c r="B8" s="28" t="n">
        <v>1</v>
      </c>
      <c r="C8" s="29" t="inlineStr">
        <is>
          <t>Phạm vi xem</t>
        </is>
      </c>
      <c r="D8" s="28" t="inlineStr">
        <is>
          <t>Phát sinh</t>
        </is>
      </c>
      <c r="E8" s="29" t="inlineStr">
        <is>
          <t>Mở link đơn hàng / báo giá của Sales ở nhóm khác</t>
        </is>
      </c>
      <c r="F8" s="29" t="inlineStr">
        <is>
          <t>Không thấy hoặc bị chặn</t>
        </is>
      </c>
      <c r="G8" s="7" t="n"/>
      <c r="H8" s="15" t="n"/>
      <c r="I8" s="14" t="n"/>
      <c r="J8" s="7" t="n"/>
      <c r="K8" s="14" t="n"/>
      <c r="L8" s="7" t="n"/>
      <c r="M8" s="7" t="n"/>
      <c r="N8" s="14" t="n"/>
      <c r="O8" s="7" t="n"/>
    </row>
    <row r="9">
      <c r="A9" s="28" t="inlineStr">
        <is>
          <t>SM-003</t>
        </is>
      </c>
      <c r="B9" s="28" t="n">
        <v>1</v>
      </c>
      <c r="C9" s="29" t="inlineStr">
        <is>
          <t>Phạm vi xem</t>
        </is>
      </c>
      <c r="D9" s="28" t="inlineStr">
        <is>
          <t>Phát sinh</t>
        </is>
      </c>
      <c r="E9" s="29" t="inlineStr">
        <is>
          <t>Thêm 1 Sales mới vào nhóm (Phân nhóm), mở lại danh sách</t>
        </is>
      </c>
      <c r="F9" s="29" t="inlineStr">
        <is>
          <t>Thấy thêm dữ liệu của người mới</t>
        </is>
      </c>
      <c r="G9" s="7" t="n"/>
      <c r="H9" s="15" t="n"/>
      <c r="I9" s="14" t="n"/>
      <c r="J9" s="7" t="n"/>
      <c r="K9" s="14" t="n"/>
      <c r="L9" s="7" t="n"/>
      <c r="M9" s="7" t="n"/>
      <c r="N9" s="14" t="n"/>
      <c r="O9" s="7" t="n"/>
    </row>
    <row r="10">
      <c r="A10" s="27" t="inlineStr">
        <is>
          <t>BƯỚC 2: XÁC NHẬN HOẠT ĐỘNG GẶP KHÁCH</t>
        </is>
      </c>
    </row>
    <row r="11">
      <c r="A11" s="12" t="inlineStr">
        <is>
          <t>SM-004</t>
        </is>
      </c>
      <c r="B11" s="12" t="n">
        <v>2</v>
      </c>
      <c r="C11" s="10" t="inlineStr">
        <is>
          <t>Xác nhận hoạt động</t>
        </is>
      </c>
      <c r="D11" s="12" t="inlineStr">
        <is>
          <t>Luồng chính</t>
        </is>
      </c>
      <c r="E11" s="10" t="inlineStr">
        <is>
          <t>Sales tạo hoạt động trình bày giải pháp → Sales Manager xác nhận</t>
        </is>
      </c>
      <c r="F11" s="10" t="inlineStr">
        <is>
          <t>Trạng thái "Đã xác nhận", Sales nhận thông báo; sau đó Sales chuyển Đang thực hiện / Hoàn thành được</t>
        </is>
      </c>
      <c r="G11" s="7" t="n"/>
      <c r="H11" s="15" t="n"/>
      <c r="I11" s="14" t="n"/>
      <c r="J11" s="7" t="n"/>
      <c r="K11" s="14" t="n"/>
      <c r="L11" s="7" t="n"/>
      <c r="M11" s="7" t="n"/>
      <c r="N11" s="14" t="n"/>
      <c r="O11" s="7" t="n"/>
    </row>
    <row r="12">
      <c r="A12" s="12" t="inlineStr">
        <is>
          <t>SM-005</t>
        </is>
      </c>
      <c r="B12" s="12" t="n">
        <v>2</v>
      </c>
      <c r="C12" s="10" t="inlineStr">
        <is>
          <t>Xác nhận hoạt động</t>
        </is>
      </c>
      <c r="D12" s="12" t="inlineStr">
        <is>
          <t>Luồng chính</t>
        </is>
      </c>
      <c r="E12" s="10" t="inlineStr">
        <is>
          <t>Xác nhận hoạt động có quà: chọn vật phẩm MKT và số lượng</t>
        </is>
      </c>
      <c r="F12" s="10" t="inlineStr">
        <is>
          <t>Tồn vật phẩm giảm, quà "Đã duyệt", Marketing nhận ticket chuẩn bị quà</t>
        </is>
      </c>
      <c r="G12" s="7" t="n"/>
      <c r="H12" s="15" t="n"/>
      <c r="I12" s="14" t="n"/>
      <c r="J12" s="7" t="n"/>
      <c r="K12" s="14" t="n"/>
      <c r="L12" s="7" t="n"/>
      <c r="M12" s="7" t="n"/>
      <c r="N12" s="14" t="n"/>
      <c r="O12" s="7" t="n"/>
    </row>
    <row r="13">
      <c r="A13" s="12" t="inlineStr">
        <is>
          <t>SM-006</t>
        </is>
      </c>
      <c r="B13" s="12" t="n">
        <v>2</v>
      </c>
      <c r="C13" s="10" t="inlineStr">
        <is>
          <t>Xác nhận hoạt động</t>
        </is>
      </c>
      <c r="D13" s="12" t="inlineStr">
        <is>
          <t>Luồng chính</t>
        </is>
      </c>
      <c r="E13" s="10" t="inlineStr">
        <is>
          <t>Xác nhận hoạt động cần kỹ sư: chọn kỹ sư đi cùng</t>
        </is>
      </c>
      <c r="F13" s="10" t="inlineStr">
        <is>
          <t>Ticket Kỹ thuật được tạo cho kỹ sư đó</t>
        </is>
      </c>
      <c r="G13" s="7" t="n"/>
      <c r="H13" s="15" t="n"/>
      <c r="I13" s="14" t="n"/>
      <c r="J13" s="7" t="n"/>
      <c r="K13" s="14" t="n"/>
      <c r="L13" s="7" t="n"/>
      <c r="M13" s="7" t="n"/>
      <c r="N13" s="14" t="n"/>
      <c r="O13" s="7" t="n"/>
    </row>
    <row r="14">
      <c r="A14" s="28" t="inlineStr">
        <is>
          <t>SM-007</t>
        </is>
      </c>
      <c r="B14" s="28" t="n">
        <v>2</v>
      </c>
      <c r="C14" s="29" t="inlineStr">
        <is>
          <t>Xác nhận hoạt động</t>
        </is>
      </c>
      <c r="D14" s="28" t="inlineStr">
        <is>
          <t>Phát sinh</t>
        </is>
      </c>
      <c r="E14" s="29" t="inlineStr">
        <is>
          <t>Sales thường tự xác nhận hoạt động của mình</t>
        </is>
      </c>
      <c r="F14" s="29" t="inlineStr">
        <is>
          <t>Bị chặn "Chỉ BOD/Manager mới có quyền phê duyệt &amp; xác nhận hoạt động cơ hội này."</t>
        </is>
      </c>
      <c r="G14" s="7" t="n"/>
      <c r="H14" s="15" t="n"/>
      <c r="I14" s="14" t="n"/>
      <c r="J14" s="7" t="n"/>
      <c r="K14" s="14" t="n"/>
      <c r="L14" s="7" t="n"/>
      <c r="M14" s="7" t="n"/>
      <c r="N14" s="14" t="n"/>
      <c r="O14" s="7" t="n"/>
    </row>
    <row r="15">
      <c r="A15" s="28" t="inlineStr">
        <is>
          <t>SM-008</t>
        </is>
      </c>
      <c r="B15" s="28" t="n">
        <v>2</v>
      </c>
      <c r="C15" s="29" t="inlineStr">
        <is>
          <t>Xác nhận hoạt động</t>
        </is>
      </c>
      <c r="D15" s="28" t="inlineStr">
        <is>
          <t>Phát sinh</t>
        </is>
      </c>
      <c r="E15" s="29" t="inlineStr">
        <is>
          <t>Sales chuyển hoạt động chưa xác nhận sang Hoàn thành (kể cả loại cafe, không quà)</t>
        </is>
      </c>
      <c r="F15" s="29" t="inlineStr">
        <is>
          <t>Bị chặn "Hoạt động cần được BOD/Manager xác nhận trước khi đánh dấu hoàn thành."</t>
        </is>
      </c>
      <c r="G15" s="7" t="n"/>
      <c r="H15" s="15" t="n"/>
      <c r="I15" s="14" t="n"/>
      <c r="J15" s="7" t="n"/>
      <c r="K15" s="14" t="n"/>
      <c r="L15" s="7" t="n"/>
      <c r="M15" s="7" t="n"/>
      <c r="N15" s="14" t="n"/>
      <c r="O15" s="7" t="n"/>
    </row>
    <row r="16">
      <c r="A16" s="28" t="inlineStr">
        <is>
          <t>SM-009</t>
        </is>
      </c>
      <c r="B16" s="28" t="n">
        <v>2</v>
      </c>
      <c r="C16" s="29" t="inlineStr">
        <is>
          <t>Xác nhận hoạt động</t>
        </is>
      </c>
      <c r="D16" s="28" t="inlineStr">
        <is>
          <t>Phát sinh</t>
        </is>
      </c>
      <c r="E16" s="29" t="inlineStr">
        <is>
          <t>Sales chuyển hoạt động trình bày giải pháp chưa xác nhận sang Đang thực hiện</t>
        </is>
      </c>
      <c r="F16" s="29" t="inlineStr">
        <is>
          <t>Bị chặn "Đợt trình bày/hoạt động phối hợp cần được BOD/Manager phê duyệt…"</t>
        </is>
      </c>
      <c r="G16" s="7" t="n"/>
      <c r="H16" s="15" t="n"/>
      <c r="I16" s="14" t="n"/>
      <c r="J16" s="7" t="n"/>
      <c r="K16" s="14" t="n"/>
      <c r="L16" s="7" t="n"/>
      <c r="M16" s="7" t="n"/>
      <c r="N16" s="14" t="n"/>
      <c r="O16" s="7" t="n"/>
    </row>
    <row r="17">
      <c r="A17" s="27" t="inlineStr">
        <is>
          <t>BƯỚC 3: PHÂN P.I.C PHỤ</t>
        </is>
      </c>
    </row>
    <row r="18">
      <c r="A18" s="12" t="inlineStr">
        <is>
          <t>SM-010</t>
        </is>
      </c>
      <c r="B18" s="12" t="n">
        <v>3</v>
      </c>
      <c r="C18" s="10" t="inlineStr">
        <is>
          <t>P.I.C phụ</t>
        </is>
      </c>
      <c r="D18" s="12" t="inlineStr">
        <is>
          <t>Luồng chính</t>
        </is>
      </c>
      <c r="E18" s="10" t="inlineStr">
        <is>
          <t>Gán P.I.C phụ cho dự án của Sales cùng phòng ban</t>
        </is>
      </c>
      <c r="F18" s="10" t="inlineStr">
        <is>
          <t>P.I.C phụ nhận thông báo, thấy dự án</t>
        </is>
      </c>
      <c r="G18" s="7" t="n"/>
      <c r="H18" s="15" t="n"/>
      <c r="I18" s="14" t="n"/>
      <c r="J18" s="7" t="n"/>
      <c r="K18" s="14" t="n"/>
      <c r="L18" s="7" t="n"/>
      <c r="M18" s="7" t="n"/>
      <c r="N18" s="14" t="n"/>
      <c r="O18" s="7" t="n"/>
    </row>
    <row r="19">
      <c r="A19" s="28" t="inlineStr">
        <is>
          <t>SM-011</t>
        </is>
      </c>
      <c r="B19" s="28" t="n">
        <v>3</v>
      </c>
      <c r="C19" s="29" t="inlineStr">
        <is>
          <t>P.I.C phụ</t>
        </is>
      </c>
      <c r="D19" s="28" t="inlineStr">
        <is>
          <t>Phát sinh</t>
        </is>
      </c>
      <c r="E19" s="29" t="inlineStr">
        <is>
          <t>Gán P.I.C phụ cho dự án của Sales khác phòng ban</t>
        </is>
      </c>
      <c r="F19" s="29" t="inlineStr">
        <is>
          <t>Bị chặn (Sales Manager chỉ sửa dự án cùng phòng ban — kiểm cột Phòng ban của nhân viên)</t>
        </is>
      </c>
      <c r="G19" s="7" t="n"/>
      <c r="H19" s="15" t="n"/>
      <c r="I19" s="14" t="n"/>
      <c r="J19" s="7" t="n"/>
      <c r="K19" s="14" t="n"/>
      <c r="L19" s="7" t="n"/>
      <c r="M19" s="7" t="n"/>
      <c r="N19" s="14" t="n"/>
      <c r="O19" s="7" t="n"/>
    </row>
    <row r="20">
      <c r="A20" s="12" t="inlineStr">
        <is>
          <t>SM-012</t>
        </is>
      </c>
      <c r="B20" s="12" t="n">
        <v>3</v>
      </c>
      <c r="C20" s="10" t="inlineStr">
        <is>
          <t>P.I.C phụ</t>
        </is>
      </c>
      <c r="D20" s="12" t="inlineStr">
        <is>
          <t>Luồng chính</t>
        </is>
      </c>
      <c r="E20" s="10" t="inlineStr">
        <is>
          <t>Gán P.I.C phụ cho đơn hàng, chọn chia theo %: 60 / 40</t>
        </is>
      </c>
      <c r="F20" s="10" t="inlineStr">
        <is>
          <t>Lưu đúng 60% / 40%; báo cáo doanh số nhân viên chia đúng</t>
        </is>
      </c>
      <c r="G20" s="7" t="n"/>
      <c r="H20" s="15" t="n"/>
      <c r="I20" s="14" t="n"/>
      <c r="J20" s="7" t="n"/>
      <c r="K20" s="14" t="n"/>
      <c r="L20" s="7" t="n"/>
      <c r="M20" s="7" t="n"/>
      <c r="N20" s="14" t="n"/>
      <c r="O20" s="7" t="n"/>
    </row>
    <row r="21">
      <c r="A21" s="12" t="inlineStr">
        <is>
          <t>SM-013</t>
        </is>
      </c>
      <c r="B21" s="12" t="n">
        <v>3</v>
      </c>
      <c r="C21" s="10" t="inlineStr">
        <is>
          <t>P.I.C phụ</t>
        </is>
      </c>
      <c r="D21" s="12" t="inlineStr">
        <is>
          <t>Luồng chính</t>
        </is>
      </c>
      <c r="E21" s="10" t="inlineStr">
        <is>
          <t>Đổi cách chia sang "người phụ 100%", rồi bỏ P.I.C phụ</t>
        </is>
      </c>
      <c r="F21" s="10" t="inlineStr">
        <is>
          <t>Người phụ hưởng 100%; bỏ P.I.C phụ thì quay về người chính 100%</t>
        </is>
      </c>
      <c r="G21" s="7" t="n"/>
      <c r="H21" s="15" t="n"/>
      <c r="I21" s="14" t="n"/>
      <c r="J21" s="7" t="n"/>
      <c r="K21" s="14" t="n"/>
      <c r="L21" s="7" t="n"/>
      <c r="M21" s="7" t="n"/>
      <c r="N21" s="14" t="n"/>
      <c r="O21" s="7" t="n"/>
    </row>
    <row r="22">
      <c r="A22" s="28" t="inlineStr">
        <is>
          <t>SM-014</t>
        </is>
      </c>
      <c r="B22" s="28" t="n">
        <v>3</v>
      </c>
      <c r="C22" s="29" t="inlineStr">
        <is>
          <t>P.I.C phụ</t>
        </is>
      </c>
      <c r="D22" s="28" t="inlineStr">
        <is>
          <t>Phát sinh</t>
        </is>
      </c>
      <c r="E22" s="29" t="inlineStr">
        <is>
          <t>Sales thường gán P.I.C phụ cho dự án không phải của mình</t>
        </is>
      </c>
      <c r="F22" s="29" t="inlineStr">
        <is>
          <t>Bị chặn</t>
        </is>
      </c>
      <c r="G22" s="7" t="n"/>
      <c r="H22" s="15" t="n"/>
      <c r="I22" s="14" t="n"/>
      <c r="J22" s="7" t="n"/>
      <c r="K22" s="14" t="n"/>
      <c r="L22" s="7" t="n"/>
      <c r="M22" s="7" t="n"/>
      <c r="N22" s="14" t="n"/>
      <c r="O22" s="7" t="n"/>
    </row>
    <row r="23">
      <c r="A23" s="28" t="inlineStr">
        <is>
          <t>SM-015</t>
        </is>
      </c>
      <c r="B23" s="28" t="n">
        <v>3</v>
      </c>
      <c r="C23" s="29" t="inlineStr">
        <is>
          <t>P.I.C phụ</t>
        </is>
      </c>
      <c r="D23" s="28" t="inlineStr">
        <is>
          <t>Phát sinh</t>
        </is>
      </c>
      <c r="E23" s="29" t="inlineStr">
        <is>
          <t>Chọn P.I.C phụ trùng người tạo đơn (đơn hàng) / trùng người phụ trách chính (dự án)</t>
        </is>
      </c>
      <c r="F23" s="29" t="inlineStr">
        <is>
          <t>Đơn: "Người phụ trách thứ 2 không được trùng với Người tạo đơn." Dự án: "… trùng với Người phụ trách chính."</t>
        </is>
      </c>
      <c r="G23" s="7" t="n"/>
      <c r="H23" s="15" t="n"/>
      <c r="I23" s="14" t="n"/>
      <c r="J23" s="7" t="n"/>
      <c r="K23" s="14" t="n"/>
      <c r="L23" s="7" t="n"/>
      <c r="M23" s="7" t="n"/>
      <c r="N23" s="14" t="n"/>
      <c r="O23" s="7" t="n"/>
    </row>
    <row r="24">
      <c r="A24" s="28" t="inlineStr">
        <is>
          <t>SM-016</t>
        </is>
      </c>
      <c r="B24" s="28" t="n">
        <v>3</v>
      </c>
      <c r="C24" s="29" t="inlineStr">
        <is>
          <t>P.I.C phụ</t>
        </is>
      </c>
      <c r="D24" s="28" t="inlineStr">
        <is>
          <t>Phát sinh</t>
        </is>
      </c>
      <c r="E24" s="29" t="inlineStr">
        <is>
          <t>BOD gán P.I.C phụ cho dự án</t>
        </is>
      </c>
      <c r="F24" s="29" t="inlineStr">
        <is>
          <t>Bị chặn (BOD không sửa dự án)</t>
        </is>
      </c>
      <c r="G24" s="7" t="n"/>
      <c r="H24" s="15" t="n"/>
      <c r="I24" s="14" t="n"/>
      <c r="J24" s="7" t="n"/>
      <c r="K24" s="14" t="n"/>
      <c r="L24" s="7" t="n"/>
      <c r="M24" s="7" t="n"/>
      <c r="N24" s="14" t="n"/>
      <c r="O24" s="7" t="n"/>
    </row>
    <row r="25">
      <c r="A25" s="27" t="inlineStr">
        <is>
          <t>BƯỚC 4: RÀ P&amp;L, GỬI DUYỆT THAY SALES</t>
        </is>
      </c>
    </row>
    <row r="26">
      <c r="A26" s="12" t="inlineStr">
        <is>
          <t>SM-017</t>
        </is>
      </c>
      <c r="B26" s="12" t="n">
        <v>4</v>
      </c>
      <c r="C26" s="10" t="inlineStr">
        <is>
          <t>P&amp;L</t>
        </is>
      </c>
      <c r="D26" s="12" t="inlineStr">
        <is>
          <t>Luồng chính</t>
        </is>
      </c>
      <c r="E26" s="10" t="inlineStr">
        <is>
          <t>Mở P&amp;L đơn của thành viên, bấm Gửi duyệt thay</t>
        </is>
      </c>
      <c r="F26" s="10" t="inlineStr">
        <is>
          <t>"Chờ duyệt", Legal nhận thông báo cấp 1</t>
        </is>
      </c>
      <c r="G26" s="7" t="n"/>
      <c r="H26" s="15" t="n"/>
      <c r="I26" s="14" t="n"/>
      <c r="J26" s="7" t="n"/>
      <c r="K26" s="14" t="n"/>
      <c r="L26" s="7" t="n"/>
      <c r="M26" s="7" t="n"/>
      <c r="N26" s="14" t="n"/>
      <c r="O26" s="7" t="n"/>
    </row>
    <row r="27">
      <c r="A27" s="12" t="inlineStr">
        <is>
          <t>SM-018</t>
        </is>
      </c>
      <c r="B27" s="12" t="n">
        <v>4</v>
      </c>
      <c r="C27" s="10" t="inlineStr">
        <is>
          <t>P&amp;L</t>
        </is>
      </c>
      <c r="D27" s="12" t="inlineStr">
        <is>
          <t>Luồng chính</t>
        </is>
      </c>
      <c r="E27" s="10" t="inlineStr">
        <is>
          <t>Theo dõi đơn đang chờ duyệt</t>
        </is>
      </c>
      <c r="F27" s="10" t="inlineStr">
        <is>
          <t>Thấy đơn đang ở cấp nào (Legal / BOD) và lịch sử duyệt</t>
        </is>
      </c>
      <c r="G27" s="7" t="n"/>
      <c r="H27" s="15" t="n"/>
      <c r="I27" s="14" t="n"/>
      <c r="J27" s="7" t="n"/>
      <c r="K27" s="14" t="n"/>
      <c r="L27" s="7" t="n"/>
      <c r="M27" s="7" t="n"/>
      <c r="N27" s="14" t="n"/>
      <c r="O27" s="7" t="n"/>
    </row>
    <row r="28">
      <c r="A28" s="28" t="inlineStr">
        <is>
          <t>SM-019</t>
        </is>
      </c>
      <c r="B28" s="28" t="n">
        <v>4</v>
      </c>
      <c r="C28" s="29" t="inlineStr">
        <is>
          <t>P&amp;L</t>
        </is>
      </c>
      <c r="D28" s="28" t="inlineStr">
        <is>
          <t>Phát sinh</t>
        </is>
      </c>
      <c r="E28" s="29" t="inlineStr">
        <is>
          <t>Đơn bị Legal / BOD yêu cầu sửa hoặc từ chối</t>
        </is>
      </c>
      <c r="F28" s="29" t="inlineStr">
        <is>
          <t>Sales Manager và Sales đều thấy lý do</t>
        </is>
      </c>
      <c r="G28" s="7" t="n"/>
      <c r="H28" s="15" t="n"/>
      <c r="I28" s="14" t="n"/>
      <c r="J28" s="7" t="n"/>
      <c r="K28" s="14" t="n"/>
      <c r="L28" s="7" t="n"/>
      <c r="M28" s="7" t="n"/>
      <c r="N28" s="14" t="n"/>
      <c r="O28" s="7" t="n"/>
    </row>
    <row r="29">
      <c r="A29" s="28" t="inlineStr">
        <is>
          <t>SM-020</t>
        </is>
      </c>
      <c r="B29" s="28" t="n">
        <v>4</v>
      </c>
      <c r="C29" s="29" t="inlineStr">
        <is>
          <t>P&amp;L</t>
        </is>
      </c>
      <c r="D29" s="28" t="inlineStr">
        <is>
          <t>Phát sinh</t>
        </is>
      </c>
      <c r="E29" s="29" t="inlineStr">
        <is>
          <t>Sales Manager tìm nút duyệt P&amp;L</t>
        </is>
      </c>
      <c r="F29" s="29" t="inlineStr">
        <is>
          <t>Không có nút duyệt (không phải cấp duyệt)</t>
        </is>
      </c>
      <c r="G29" s="7" t="n"/>
      <c r="H29" s="15" t="n"/>
      <c r="I29" s="14" t="n"/>
      <c r="J29" s="7" t="n"/>
      <c r="K29" s="14" t="n"/>
      <c r="L29" s="7" t="n"/>
      <c r="M29" s="7" t="n"/>
      <c r="N29" s="14" t="n"/>
      <c r="O29" s="7" t="n"/>
    </row>
    <row r="30">
      <c r="A30" s="27" t="inlineStr">
        <is>
          <t>BƯỚC 5: DUYỆT YÊU CẦU ĐẶT HÀNG (KHI ĐƯỢC GIAO)</t>
        </is>
      </c>
    </row>
    <row r="31">
      <c r="A31" s="12" t="inlineStr">
        <is>
          <t>SM-021</t>
        </is>
      </c>
      <c r="B31" s="12" t="n">
        <v>5</v>
      </c>
      <c r="C31" s="10" t="inlineStr">
        <is>
          <t>Yêu cầu đặt hàng</t>
        </is>
      </c>
      <c r="D31" s="12" t="inlineStr">
        <is>
          <t>Luồng chính</t>
        </is>
      </c>
      <c r="E31" s="10" t="inlineStr">
        <is>
          <t>Yêu cầu "Chờ Admin duyệt" của nhóm → Sales Manager duyệt</t>
        </is>
      </c>
      <c r="F31" s="10" t="inlineStr">
        <is>
          <t>"Đã gửi", PO Team thấy ở Duyệt yêu cầu (PR), Sales nhận thông báo</t>
        </is>
      </c>
      <c r="G31" s="7" t="n"/>
      <c r="H31" s="15" t="n"/>
      <c r="I31" s="14" t="n"/>
      <c r="J31" s="7" t="n"/>
      <c r="K31" s="14" t="n"/>
      <c r="L31" s="7" t="n"/>
      <c r="M31" s="7" t="n"/>
      <c r="N31" s="14" t="n"/>
      <c r="O31" s="7" t="n"/>
    </row>
    <row r="32">
      <c r="A32" s="28" t="inlineStr">
        <is>
          <t>SM-022</t>
        </is>
      </c>
      <c r="B32" s="28" t="n">
        <v>5</v>
      </c>
      <c r="C32" s="29" t="inlineStr">
        <is>
          <t>Yêu cầu đặt hàng</t>
        </is>
      </c>
      <c r="D32" s="28" t="inlineStr">
        <is>
          <t>Phát sinh</t>
        </is>
      </c>
      <c r="E32" s="29" t="inlineStr">
        <is>
          <t>Trả về kèm lý do (thiếu thông tin / sửa P&amp;L)</t>
        </is>
      </c>
      <c r="F32" s="29" t="inlineStr">
        <is>
          <t>Sales nhận lý do, sửa và gửi lại được</t>
        </is>
      </c>
      <c r="G32" s="7" t="n"/>
      <c r="H32" s="15" t="n"/>
      <c r="I32" s="14" t="n"/>
      <c r="J32" s="7" t="n"/>
      <c r="K32" s="14" t="n"/>
      <c r="L32" s="7" t="n"/>
      <c r="M32" s="7" t="n"/>
      <c r="N32" s="14" t="n"/>
      <c r="O32" s="7" t="n"/>
    </row>
    <row r="33">
      <c r="A33" s="28" t="inlineStr">
        <is>
          <t>SM-023</t>
        </is>
      </c>
      <c r="B33" s="28" t="n">
        <v>5</v>
      </c>
      <c r="C33" s="29" t="inlineStr">
        <is>
          <t>Yêu cầu đặt hàng</t>
        </is>
      </c>
      <c r="D33" s="28" t="inlineStr">
        <is>
          <t>Phát sinh</t>
        </is>
      </c>
      <c r="E33" s="29" t="inlineStr">
        <is>
          <t>Duyệt yêu cầu không ở trạng thái Chờ Admin duyệt</t>
        </is>
      </c>
      <c r="F33" s="29" t="inlineStr">
        <is>
          <t>Bị chặn</t>
        </is>
      </c>
      <c r="G33" s="7" t="n"/>
      <c r="H33" s="15" t="n"/>
      <c r="I33" s="14" t="n"/>
      <c r="J33" s="7" t="n"/>
      <c r="K33" s="14" t="n"/>
      <c r="L33" s="7" t="n"/>
      <c r="M33" s="7" t="n"/>
      <c r="N33" s="14" t="n"/>
      <c r="O33" s="7" t="n"/>
    </row>
    <row r="34">
      <c r="A34" s="27" t="inlineStr">
        <is>
          <t>BƯỚC 6: UNC &amp; CÔNG NỢ CỦA NHÓM</t>
        </is>
      </c>
    </row>
    <row r="35">
      <c r="A35" s="12" t="inlineStr">
        <is>
          <t>SM-024</t>
        </is>
      </c>
      <c r="B35" s="12" t="n">
        <v>6</v>
      </c>
      <c r="C35" s="10" t="inlineStr">
        <is>
          <t>UNC &amp; công nợ</t>
        </is>
      </c>
      <c r="D35" s="12" t="inlineStr">
        <is>
          <t>Luồng chính</t>
        </is>
      </c>
      <c r="E35" s="10" t="inlineStr">
        <is>
          <t>Upload UNC thay Sales cho đơn của nhóm (đơn chưa xuất hóa đơn)</t>
        </is>
      </c>
      <c r="F35" s="10" t="inlineStr">
        <is>
          <t>Kế toán nhận thông báo xác nhận</t>
        </is>
      </c>
      <c r="G35" s="7" t="n"/>
      <c r="H35" s="15" t="n"/>
      <c r="I35" s="14" t="n"/>
      <c r="J35" s="7" t="n"/>
      <c r="K35" s="14" t="n"/>
      <c r="L35" s="7" t="n"/>
      <c r="M35" s="7" t="n"/>
      <c r="N35" s="14" t="n"/>
      <c r="O35" s="7" t="n"/>
    </row>
    <row r="36">
      <c r="A36" s="28" t="inlineStr">
        <is>
          <t>SM-025</t>
        </is>
      </c>
      <c r="B36" s="28" t="n">
        <v>6</v>
      </c>
      <c r="C36" s="29" t="inlineStr">
        <is>
          <t>UNC &amp; công nợ</t>
        </is>
      </c>
      <c r="D36" s="28" t="inlineStr">
        <is>
          <t>Phát sinh</t>
        </is>
      </c>
      <c r="E36" s="29" t="inlineStr">
        <is>
          <t>Upload UNC cho đơn đã xuất hóa đơn chính thức</t>
        </is>
      </c>
      <c r="F36" s="29" t="inlineStr">
        <is>
          <t>Bị chặn "Đơn hàng đã xuất hóa đơn. Việc theo dõi và thu hồi công nợ sau khi xuất hóa đơn do Kế toán phụ trách."</t>
        </is>
      </c>
      <c r="G36" s="7" t="n"/>
      <c r="H36" s="15" t="n"/>
      <c r="I36" s="14" t="n"/>
      <c r="J36" s="7" t="n"/>
      <c r="K36" s="14" t="n"/>
      <c r="L36" s="7" t="n"/>
      <c r="M36" s="7" t="n"/>
      <c r="N36" s="14" t="n"/>
      <c r="O36" s="7" t="n"/>
    </row>
    <row r="37">
      <c r="A37" s="28" t="inlineStr">
        <is>
          <t>SM-026</t>
        </is>
      </c>
      <c r="B37" s="28" t="n">
        <v>6</v>
      </c>
      <c r="C37" s="29" t="inlineStr">
        <is>
          <t>UNC &amp; công nợ</t>
        </is>
      </c>
      <c r="D37" s="28" t="inlineStr">
        <is>
          <t>Phát sinh</t>
        </is>
      </c>
      <c r="E37" s="29" t="inlineStr">
        <is>
          <t>Sales ngoài nhóm upload UNC cho đơn không phải của mình</t>
        </is>
      </c>
      <c r="F37" s="29" t="inlineStr">
        <is>
          <t>Bị chặn "Chỉ Sales phụ trách đơn hàng hoặc quản lý Sales…"</t>
        </is>
      </c>
      <c r="G37" s="7" t="n"/>
      <c r="H37" s="15" t="n"/>
      <c r="I37" s="14" t="n"/>
      <c r="J37" s="7" t="n"/>
      <c r="K37" s="14" t="n"/>
      <c r="L37" s="7" t="n"/>
      <c r="M37" s="7" t="n"/>
      <c r="N37" s="14" t="n"/>
      <c r="O37" s="7" t="n"/>
    </row>
    <row r="38">
      <c r="A38" s="12" t="inlineStr">
        <is>
          <t>SM-027</t>
        </is>
      </c>
      <c r="B38" s="12" t="n">
        <v>6</v>
      </c>
      <c r="C38" s="10" t="inlineStr">
        <is>
          <t>UNC &amp; công nợ</t>
        </is>
      </c>
      <c r="D38" s="12" t="inlineStr">
        <is>
          <t>Luồng chính</t>
        </is>
      </c>
      <c r="E38" s="10" t="inlineStr">
        <is>
          <t>Mở Công nợ khách hàng, lọc nợ quá hạn</t>
        </is>
      </c>
      <c r="F38" s="10" t="inlineStr">
        <is>
          <t>Đúng số liệu, đúng phạm vi nhóm</t>
        </is>
      </c>
      <c r="G38" s="7" t="n"/>
      <c r="H38" s="15" t="n"/>
      <c r="I38" s="14" t="n"/>
      <c r="J38" s="7" t="n"/>
      <c r="K38" s="14" t="n"/>
      <c r="L38" s="7" t="n"/>
      <c r="M38" s="7" t="n"/>
      <c r="N38" s="14" t="n"/>
      <c r="O38" s="7" t="n"/>
    </row>
    <row r="39">
      <c r="A39" s="27" t="inlineStr">
        <is>
          <t>BƯỚC 7: BÁO CÁO NHÓM</t>
        </is>
      </c>
    </row>
    <row r="40">
      <c r="A40" s="12" t="inlineStr">
        <is>
          <t>SM-028</t>
        </is>
      </c>
      <c r="B40" s="12" t="n">
        <v>7</v>
      </c>
      <c r="C40" s="10" t="inlineStr">
        <is>
          <t>Báo cáo</t>
        </is>
      </c>
      <c r="D40" s="12" t="inlineStr">
        <is>
          <t>Luồng chính</t>
        </is>
      </c>
      <c r="E40" s="10" t="inlineStr">
        <is>
          <t>Báo cáo tần suất gặp và báo cáo bán hàng, lọc từng thành viên</t>
        </is>
      </c>
      <c r="F40" s="10" t="inlineStr">
        <is>
          <t>Khớp hoạt động và đơn hàng của từng người</t>
        </is>
      </c>
      <c r="G40" s="7" t="n"/>
      <c r="H40" s="15" t="n"/>
      <c r="I40" s="14" t="n"/>
      <c r="J40" s="7" t="n"/>
      <c r="K40" s="14" t="n"/>
      <c r="L40" s="7" t="n"/>
      <c r="M40" s="7" t="n"/>
      <c r="N40" s="14" t="n"/>
      <c r="O40" s="7" t="n"/>
    </row>
    <row r="41">
      <c r="A41" s="12" t="inlineStr">
        <is>
          <t>SM-029</t>
        </is>
      </c>
      <c r="B41" s="12" t="n">
        <v>7</v>
      </c>
      <c r="C41" s="10" t="inlineStr">
        <is>
          <t>Báo cáo</t>
        </is>
      </c>
      <c r="D41" s="12" t="inlineStr">
        <is>
          <t>Luồng chính</t>
        </is>
      </c>
      <c r="E41" s="10" t="inlineStr">
        <is>
          <t>Mở Dashboard</t>
        </is>
      </c>
      <c r="F41" s="10" t="inlineStr">
        <is>
          <t>Thấy số liệu đúng phạm vi nhóm</t>
        </is>
      </c>
      <c r="G41" s="7" t="n"/>
      <c r="H41" s="15" t="n"/>
      <c r="I41" s="14" t="n"/>
      <c r="J41" s="7" t="n"/>
      <c r="K41" s="14" t="n"/>
      <c r="L41" s="7" t="n"/>
      <c r="M41" s="7" t="n"/>
      <c r="N41" s="14" t="n"/>
      <c r="O41" s="7" t="n"/>
    </row>
  </sheetData>
  <autoFilter ref="A5:O41"/>
  <mergeCells count="10">
    <mergeCell ref="A25:O25"/>
    <mergeCell ref="A2:O2"/>
    <mergeCell ref="A34:O34"/>
    <mergeCell ref="A10:O10"/>
    <mergeCell ref="A1:O1"/>
    <mergeCell ref="A6:O6"/>
    <mergeCell ref="A17:O17"/>
    <mergeCell ref="A3:O3"/>
    <mergeCell ref="A30:O30"/>
    <mergeCell ref="A39:O39"/>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O2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LEGAL TEAM (PHÁP CHẾ) – DUYỆT CẤP 1 HỢP ĐỒNG &amp; P&amp;L</t>
        </is>
      </c>
    </row>
    <row r="2" ht="16" customHeight="1">
      <c r="A2" s="21" t="inlineStr">
        <is>
          <t>Tài khoản test: Legal Team; Sales Staff (gửi duyệt); BOD (duyệt cấp 2)</t>
        </is>
      </c>
    </row>
    <row r="3" ht="48" customHeight="1">
      <c r="A3" s="5" t="inlineStr">
        <is>
          <t>Legal là cấp duyệt 1 của mọi đơn hàng bán, trước BOD. Legal kiểm tra hợp đồng mua bán (HĐMB) và bảng P&amp;L, rồi duyệt, yêu cầu Sales chỉnh sửa, hoặc từ chối. Legal không sửa đơn. Quy trình cấu hình ở Hệ thống › Quy trình duyệt: "Quy trình duyệt P&amp;L &amp; Hợp đồng bán hàng" – Cấp 1 Legal Team → Cấp 2 BOD.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NHẬN ĐƠN CHỜ DUYỆT</t>
        </is>
      </c>
    </row>
    <row r="7">
      <c r="A7" s="12" t="inlineStr">
        <is>
          <t>LEG-001</t>
        </is>
      </c>
      <c r="B7" s="12" t="n">
        <v>1</v>
      </c>
      <c r="C7" s="10" t="inlineStr">
        <is>
          <t>Nhận đơn</t>
        </is>
      </c>
      <c r="D7" s="12" t="inlineStr">
        <is>
          <t>Luồng chính</t>
        </is>
      </c>
      <c r="E7" s="10" t="inlineStr">
        <is>
          <t>Sales gửi duyệt P&amp;L</t>
        </is>
      </c>
      <c r="F7" s="10" t="inlineStr">
        <is>
          <t>Legal nhận thông báo, đơn có trong danh sách chờ duyệt của Legal</t>
        </is>
      </c>
      <c r="G7" s="7" t="n"/>
      <c r="H7" s="15" t="n"/>
      <c r="I7" s="14" t="n"/>
      <c r="J7" s="7" t="n"/>
      <c r="K7" s="14" t="n"/>
      <c r="L7" s="7" t="n"/>
      <c r="M7" s="7" t="n"/>
      <c r="N7" s="14" t="n"/>
      <c r="O7" s="7" t="n"/>
    </row>
    <row r="8">
      <c r="A8" s="28" t="inlineStr">
        <is>
          <t>LEG-002</t>
        </is>
      </c>
      <c r="B8" s="28" t="n">
        <v>1</v>
      </c>
      <c r="C8" s="29" t="inlineStr">
        <is>
          <t>Nhận đơn</t>
        </is>
      </c>
      <c r="D8" s="28" t="inlineStr">
        <is>
          <t>Phát sinh</t>
        </is>
      </c>
      <c r="E8" s="29" t="inlineStr">
        <is>
          <t>BOD mở đơn đang chờ Legal</t>
        </is>
      </c>
      <c r="F8" s="29" t="inlineStr">
        <is>
          <t>Hiện đang ở cấp 1 – Legal; BOD chưa duyệt cấp 2 được (nếu quy định cho BOD duyệt vượt cấp thì ghi rõ)</t>
        </is>
      </c>
      <c r="G8" s="7" t="n"/>
      <c r="H8" s="15" t="n"/>
      <c r="I8" s="14" t="n"/>
      <c r="J8" s="7" t="n"/>
      <c r="K8" s="14" t="n"/>
      <c r="L8" s="7" t="n"/>
      <c r="M8" s="7" t="n"/>
      <c r="N8" s="14" t="n"/>
      <c r="O8" s="7" t="n"/>
    </row>
    <row r="9">
      <c r="A9" s="28" t="inlineStr">
        <is>
          <t>LEG-003</t>
        </is>
      </c>
      <c r="B9" s="28" t="n">
        <v>1</v>
      </c>
      <c r="C9" s="29" t="inlineStr">
        <is>
          <t>Nhận đơn</t>
        </is>
      </c>
      <c r="D9" s="28" t="inlineStr">
        <is>
          <t>Phát sinh</t>
        </is>
      </c>
      <c r="E9" s="29" t="inlineStr">
        <is>
          <t>Tắt quy trình duyệt P&amp;L rồi Sales gửi duyệt</t>
        </is>
      </c>
      <c r="F9" s="29" t="inlineStr">
        <is>
          <t>Đơn chuyển chờ duyệt thủ công, không lỗi trang</t>
        </is>
      </c>
      <c r="G9" s="7" t="n"/>
      <c r="H9" s="15" t="n"/>
      <c r="I9" s="14" t="n"/>
      <c r="J9" s="7" t="n"/>
      <c r="K9" s="14" t="n"/>
      <c r="L9" s="7" t="n"/>
      <c r="M9" s="7" t="n"/>
      <c r="N9" s="14" t="n"/>
      <c r="O9" s="7" t="n"/>
    </row>
    <row r="10">
      <c r="A10" s="27" t="inlineStr">
        <is>
          <t>BƯỚC 2: THẨM ĐỊNH HỒ SƠ</t>
        </is>
      </c>
    </row>
    <row r="11">
      <c r="A11" s="12" t="inlineStr">
        <is>
          <t>LEG-004</t>
        </is>
      </c>
      <c r="B11" s="12" t="n">
        <v>2</v>
      </c>
      <c r="C11" s="10" t="inlineStr">
        <is>
          <t>Thẩm định</t>
        </is>
      </c>
      <c r="D11" s="12" t="inlineStr">
        <is>
          <t>Luồng chính</t>
        </is>
      </c>
      <c r="E11" s="10" t="inlineStr">
        <is>
          <t>Legal mở SO: thông tin khách, điều khoản, file đính kèm, bảng P&amp;L</t>
        </is>
      </c>
      <c r="F11" s="10" t="inlineStr">
        <is>
          <t>Xem đủ, tải / xem trước file được</t>
        </is>
      </c>
      <c r="G11" s="7" t="n"/>
      <c r="H11" s="15" t="n"/>
      <c r="I11" s="14" t="n"/>
      <c r="J11" s="7" t="n"/>
      <c r="K11" s="14" t="n"/>
      <c r="L11" s="7" t="n"/>
      <c r="M11" s="7" t="n"/>
      <c r="N11" s="14" t="n"/>
      <c r="O11" s="7" t="n"/>
    </row>
    <row r="12">
      <c r="A12" s="28" t="inlineStr">
        <is>
          <t>LEG-005</t>
        </is>
      </c>
      <c r="B12" s="28" t="n">
        <v>2</v>
      </c>
      <c r="C12" s="29" t="inlineStr">
        <is>
          <t>Thẩm định</t>
        </is>
      </c>
      <c r="D12" s="28" t="inlineStr">
        <is>
          <t>Phát sinh</t>
        </is>
      </c>
      <c r="E12" s="29" t="inlineStr">
        <is>
          <t>Legal thử sửa giá / chi phí trên P&amp;L</t>
        </is>
      </c>
      <c r="F12" s="29" t="inlineStr">
        <is>
          <t>Không sửa được (chỉ xem)</t>
        </is>
      </c>
      <c r="G12" s="7" t="n"/>
      <c r="H12" s="15" t="n"/>
      <c r="I12" s="14" t="n"/>
      <c r="J12" s="7" t="n"/>
      <c r="K12" s="14" t="n"/>
      <c r="L12" s="7" t="n"/>
      <c r="M12" s="7" t="n"/>
      <c r="N12" s="14" t="n"/>
      <c r="O12" s="7" t="n"/>
    </row>
    <row r="13">
      <c r="A13" s="28" t="inlineStr">
        <is>
          <t>LEG-006</t>
        </is>
      </c>
      <c r="B13" s="28" t="n">
        <v>2</v>
      </c>
      <c r="C13" s="29" t="inlineStr">
        <is>
          <t>Thẩm định</t>
        </is>
      </c>
      <c r="D13" s="28" t="inlineStr">
        <is>
          <t>Phát sinh</t>
        </is>
      </c>
      <c r="E13" s="29" t="inlineStr">
        <is>
          <t>Đơn không có file hợp đồng đính kèm</t>
        </is>
      </c>
      <c r="F13" s="29" t="inlineStr">
        <is>
          <t>Legal thấy rõ là thiếu, dùng Yêu cầu chỉnh sửa để Sales bổ sung</t>
        </is>
      </c>
      <c r="G13" s="7" t="n"/>
      <c r="H13" s="15" t="n"/>
      <c r="I13" s="14" t="n"/>
      <c r="J13" s="7" t="n"/>
      <c r="K13" s="14" t="n"/>
      <c r="L13" s="7" t="n"/>
      <c r="M13" s="7" t="n"/>
      <c r="N13" s="14" t="n"/>
      <c r="O13" s="7" t="n"/>
    </row>
    <row r="14">
      <c r="A14" s="27" t="inlineStr">
        <is>
          <t>BƯỚC 3: RA QUYẾT ĐỊNH</t>
        </is>
      </c>
    </row>
    <row r="15">
      <c r="A15" s="12" t="inlineStr">
        <is>
          <t>LEG-007</t>
        </is>
      </c>
      <c r="B15" s="12" t="n">
        <v>3</v>
      </c>
      <c r="C15" s="10" t="inlineStr">
        <is>
          <t>Quyết định</t>
        </is>
      </c>
      <c r="D15" s="12" t="inlineStr">
        <is>
          <t>Luồng chính</t>
        </is>
      </c>
      <c r="E15" s="10" t="inlineStr">
        <is>
          <t>Legal duyệt kèm ghi chú</t>
        </is>
      </c>
      <c r="F15" s="10" t="inlineStr">
        <is>
          <t>Cấp 1 Đã duyệt, BOD nhận thông báo cấp 2, Sales thấy tiến độ</t>
        </is>
      </c>
      <c r="G15" s="7" t="n"/>
      <c r="H15" s="15" t="n"/>
      <c r="I15" s="14" t="n"/>
      <c r="J15" s="7" t="n"/>
      <c r="K15" s="14" t="n"/>
      <c r="L15" s="7" t="n"/>
      <c r="M15" s="7" t="n"/>
      <c r="N15" s="14" t="n"/>
      <c r="O15" s="7" t="n"/>
    </row>
    <row r="16">
      <c r="A16" s="12" t="inlineStr">
        <is>
          <t>LEG-008</t>
        </is>
      </c>
      <c r="B16" s="12" t="n">
        <v>3</v>
      </c>
      <c r="C16" s="10" t="inlineStr">
        <is>
          <t>Quyết định</t>
        </is>
      </c>
      <c r="D16" s="12" t="inlineStr">
        <is>
          <t>Luồng chính</t>
        </is>
      </c>
      <c r="E16" s="10" t="inlineStr">
        <is>
          <t>Legal yêu cầu chỉnh sửa kèm lý do</t>
        </is>
      </c>
      <c r="F16" s="10" t="inlineStr">
        <is>
          <t>P&amp;L "Yêu cầu chỉnh sửa", Sales nhận lý do và sửa được</t>
        </is>
      </c>
      <c r="G16" s="7" t="n"/>
      <c r="H16" s="15" t="n"/>
      <c r="I16" s="14" t="n"/>
      <c r="J16" s="7" t="n"/>
      <c r="K16" s="14" t="n"/>
      <c r="L16" s="7" t="n"/>
      <c r="M16" s="7" t="n"/>
      <c r="N16" s="14" t="n"/>
      <c r="O16" s="7" t="n"/>
    </row>
    <row r="17">
      <c r="A17" s="12" t="inlineStr">
        <is>
          <t>LEG-009</t>
        </is>
      </c>
      <c r="B17" s="12" t="n">
        <v>3</v>
      </c>
      <c r="C17" s="10" t="inlineStr">
        <is>
          <t>Quyết định</t>
        </is>
      </c>
      <c r="D17" s="12" t="inlineStr">
        <is>
          <t>Luồng chính</t>
        </is>
      </c>
      <c r="E17" s="10" t="inlineStr">
        <is>
          <t>Legal từ chối kèm lý do</t>
        </is>
      </c>
      <c r="F17" s="10" t="inlineStr">
        <is>
          <t>"Từ chối (P&amp;L)", Sales nhận thông báo kèm lý do</t>
        </is>
      </c>
      <c r="G17" s="7" t="n"/>
      <c r="H17" s="15" t="n"/>
      <c r="I17" s="14" t="n"/>
      <c r="J17" s="7" t="n"/>
      <c r="K17" s="14" t="n"/>
      <c r="L17" s="7" t="n"/>
      <c r="M17" s="7" t="n"/>
      <c r="N17" s="14" t="n"/>
      <c r="O17" s="7" t="n"/>
    </row>
    <row r="18">
      <c r="A18" s="28" t="inlineStr">
        <is>
          <t>LEG-010</t>
        </is>
      </c>
      <c r="B18" s="28" t="n">
        <v>3</v>
      </c>
      <c r="C18" s="29" t="inlineStr">
        <is>
          <t>Quyết định</t>
        </is>
      </c>
      <c r="D18" s="28" t="inlineStr">
        <is>
          <t>Phát sinh</t>
        </is>
      </c>
      <c r="E18" s="29" t="inlineStr">
        <is>
          <t>Từ chối / yêu cầu sửa mà không nhập lý do</t>
        </is>
      </c>
      <c r="F18" s="29" t="inlineStr">
        <is>
          <t>Bị chặn hoặc bắt buộc nhập lý do</t>
        </is>
      </c>
      <c r="G18" s="7" t="n"/>
      <c r="H18" s="15" t="n"/>
      <c r="I18" s="14" t="n"/>
      <c r="J18" s="7" t="n"/>
      <c r="K18" s="14" t="n"/>
      <c r="L18" s="7" t="n"/>
      <c r="M18" s="7" t="n"/>
      <c r="N18" s="14" t="n"/>
      <c r="O18" s="7" t="n"/>
    </row>
    <row r="19">
      <c r="A19" s="28" t="inlineStr">
        <is>
          <t>LEG-011</t>
        </is>
      </c>
      <c r="B19" s="28" t="n">
        <v>3</v>
      </c>
      <c r="C19" s="29" t="inlineStr">
        <is>
          <t>Quyết định</t>
        </is>
      </c>
      <c r="D19" s="28" t="inlineStr">
        <is>
          <t>Phát sinh</t>
        </is>
      </c>
      <c r="E19" s="29" t="inlineStr">
        <is>
          <t>Tài khoản legal không được cấp quyền approve_sales</t>
        </is>
      </c>
      <c r="F19" s="29" t="inlineStr">
        <is>
          <t>Không thấy nút duyệt / bị chặn</t>
        </is>
      </c>
      <c r="G19" s="7" t="n"/>
      <c r="H19" s="15" t="n"/>
      <c r="I19" s="14" t="n"/>
      <c r="J19" s="7" t="n"/>
      <c r="K19" s="14" t="n"/>
      <c r="L19" s="7" t="n"/>
      <c r="M19" s="7" t="n"/>
      <c r="N19" s="14" t="n"/>
      <c r="O19" s="7" t="n"/>
    </row>
    <row r="20">
      <c r="A20" s="27" t="inlineStr">
        <is>
          <t>BƯỚC 4: THEO DÕI SAU DUYỆT</t>
        </is>
      </c>
    </row>
    <row r="21">
      <c r="A21" s="12" t="inlineStr">
        <is>
          <t>LEG-012</t>
        </is>
      </c>
      <c r="B21" s="12" t="n">
        <v>4</v>
      </c>
      <c r="C21" s="10" t="inlineStr">
        <is>
          <t>Sau duyệt</t>
        </is>
      </c>
      <c r="D21" s="12" t="inlineStr">
        <is>
          <t>Luồng chính</t>
        </is>
      </c>
      <c r="E21" s="10" t="inlineStr">
        <is>
          <t>Sales sửa xong gửi lại</t>
        </is>
      </c>
      <c r="F21" s="10" t="inlineStr">
        <is>
          <t>Đơn quay về cấp 1 Legal, lịch sử giữ lần duyệt trước</t>
        </is>
      </c>
      <c r="G21" s="7" t="n"/>
      <c r="H21" s="15" t="n"/>
      <c r="I21" s="14" t="n"/>
      <c r="J21" s="7" t="n"/>
      <c r="K21" s="14" t="n"/>
      <c r="L21" s="7" t="n"/>
      <c r="M21" s="7" t="n"/>
      <c r="N21" s="14" t="n"/>
      <c r="O21" s="7" t="n"/>
    </row>
    <row r="22">
      <c r="A22" s="12" t="inlineStr">
        <is>
          <t>LEG-013</t>
        </is>
      </c>
      <c r="B22" s="12" t="n">
        <v>4</v>
      </c>
      <c r="C22" s="10" t="inlineStr">
        <is>
          <t>Sau duyệt</t>
        </is>
      </c>
      <c r="D22" s="12" t="inlineStr">
        <is>
          <t>Luồng chính</t>
        </is>
      </c>
      <c r="E22" s="10" t="inlineStr">
        <is>
          <t>BOD duyệt cấp 2 sau Legal</t>
        </is>
      </c>
      <c r="F22" s="10" t="inlineStr">
        <is>
          <t>P&amp;L Đã duyệt, Sales tạo được yêu cầu đặt hàng</t>
        </is>
      </c>
      <c r="G22" s="7" t="n"/>
      <c r="H22" s="15" t="n"/>
      <c r="I22" s="14" t="n"/>
      <c r="J22" s="7" t="n"/>
      <c r="K22" s="14" t="n"/>
      <c r="L22" s="7" t="n"/>
      <c r="M22" s="7" t="n"/>
      <c r="N22" s="14" t="n"/>
      <c r="O22" s="7" t="n"/>
    </row>
    <row r="23">
      <c r="A23" s="28" t="inlineStr">
        <is>
          <t>LEG-014</t>
        </is>
      </c>
      <c r="B23" s="28" t="n">
        <v>4</v>
      </c>
      <c r="C23" s="29" t="inlineStr">
        <is>
          <t>Sau duyệt</t>
        </is>
      </c>
      <c r="D23" s="28" t="inlineStr">
        <is>
          <t>Phát sinh</t>
        </is>
      </c>
      <c r="E23" s="29" t="inlineStr">
        <is>
          <t>Legal mở đơn đã duyệt hoàn tất</t>
        </is>
      </c>
      <c r="F23" s="29" t="inlineStr">
        <is>
          <t>Chỉ xem, không duyệt lại</t>
        </is>
      </c>
      <c r="G23" s="7" t="n"/>
      <c r="H23" s="15" t="n"/>
      <c r="I23" s="14" t="n"/>
      <c r="J23" s="7" t="n"/>
      <c r="K23" s="14" t="n"/>
      <c r="L23" s="7" t="n"/>
      <c r="M23" s="7" t="n"/>
      <c r="N23" s="14" t="n"/>
      <c r="O23" s="7" t="n"/>
    </row>
    <row r="24">
      <c r="A24" s="12" t="inlineStr">
        <is>
          <t>LEG-015</t>
        </is>
      </c>
      <c r="B24" s="12" t="n">
        <v>4</v>
      </c>
      <c r="C24" s="10" t="inlineStr">
        <is>
          <t>Sau duyệt</t>
        </is>
      </c>
      <c r="D24" s="12" t="inlineStr">
        <is>
          <t>Luồng chính</t>
        </is>
      </c>
      <c r="E24" s="10" t="inlineStr">
        <is>
          <t>Legal mở phiếu xuất kho của đơn</t>
        </is>
      </c>
      <c r="F24" s="10" t="inlineStr">
        <is>
          <t>Xem được</t>
        </is>
      </c>
      <c r="G24" s="7" t="n"/>
      <c r="H24" s="15" t="n"/>
      <c r="I24" s="14" t="n"/>
      <c r="J24" s="7" t="n"/>
      <c r="K24" s="14" t="n"/>
      <c r="L24" s="7" t="n"/>
      <c r="M24" s="7" t="n"/>
      <c r="N24" s="14" t="n"/>
      <c r="O24" s="7" t="n"/>
    </row>
  </sheetData>
  <autoFilter ref="A5:O24"/>
  <mergeCells count="7">
    <mergeCell ref="A20:O20"/>
    <mergeCell ref="A2:O2"/>
    <mergeCell ref="A10:O10"/>
    <mergeCell ref="A14:O14"/>
    <mergeCell ref="A1:O1"/>
    <mergeCell ref="A6:O6"/>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O29"/>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BAN GIÁM ĐỐC (DIRECTOR)</t>
        </is>
      </c>
    </row>
    <row r="2" ht="16" customHeight="1">
      <c r="A2" s="21" t="inlineStr">
        <is>
          <t>Tài khoản test: BOD; Sales Staff; Legal Team; Marketing; Order Management</t>
        </is>
      </c>
    </row>
    <row r="3" ht="48" customHeight="1">
      <c r="A3" s="5" t="inlineStr">
        <is>
          <t>BOD là cấp duyệt cuối: duyệt P&amp;L cấp 2 sau Legal, quyết định ngoại lệ thanh toán (cho đặt hàng / xuất hàng khi khách chưa trả), mở lại P&amp;L đã duyệt, duyệt các khoản chi Marketing. BOD theo dõi kinh doanh qua Dashboard.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DUYỆT P&amp;L CẤP 2</t>
        </is>
      </c>
    </row>
    <row r="7">
      <c r="A7" s="12" t="inlineStr">
        <is>
          <t>BOD-001</t>
        </is>
      </c>
      <c r="B7" s="12" t="n">
        <v>1</v>
      </c>
      <c r="C7" s="10" t="inlineStr">
        <is>
          <t>P&amp;L cấp 2</t>
        </is>
      </c>
      <c r="D7" s="12" t="inlineStr">
        <is>
          <t>Luồng chính</t>
        </is>
      </c>
      <c r="E7" s="10" t="inlineStr">
        <is>
          <t>Legal đã duyệt cấp 1 → BOD duyệt</t>
        </is>
      </c>
      <c r="F7" s="10" t="inlineStr">
        <is>
          <t>P&amp;L Đã duyệt, đơn Đã duyệt, Sales nhận thông báo</t>
        </is>
      </c>
      <c r="G7" s="7" t="n"/>
      <c r="H7" s="15" t="n"/>
      <c r="I7" s="14" t="n"/>
      <c r="J7" s="7" t="n"/>
      <c r="K7" s="14" t="n"/>
      <c r="L7" s="7" t="n"/>
      <c r="M7" s="7" t="n"/>
      <c r="N7" s="14" t="n"/>
      <c r="O7" s="7" t="n"/>
    </row>
    <row r="8">
      <c r="A8" s="12" t="inlineStr">
        <is>
          <t>BOD-002</t>
        </is>
      </c>
      <c r="B8" s="12" t="n">
        <v>1</v>
      </c>
      <c r="C8" s="10" t="inlineStr">
        <is>
          <t>P&amp;L cấp 2</t>
        </is>
      </c>
      <c r="D8" s="12" t="inlineStr">
        <is>
          <t>Luồng chính</t>
        </is>
      </c>
      <c r="E8" s="10" t="inlineStr">
        <is>
          <t>BOD yêu cầu chỉnh sửa / từ chối kèm lý do</t>
        </is>
      </c>
      <c r="F8" s="10" t="inlineStr">
        <is>
          <t>Sales nhận lý do; gửi lại thì đi lại từ Legal cấp 1</t>
        </is>
      </c>
      <c r="G8" s="7" t="n"/>
      <c r="H8" s="15" t="n"/>
      <c r="I8" s="14" t="n"/>
      <c r="J8" s="7" t="n"/>
      <c r="K8" s="14" t="n"/>
      <c r="L8" s="7" t="n"/>
      <c r="M8" s="7" t="n"/>
      <c r="N8" s="14" t="n"/>
      <c r="O8" s="7" t="n"/>
    </row>
    <row r="9">
      <c r="A9" s="28" t="inlineStr">
        <is>
          <t>BOD-003</t>
        </is>
      </c>
      <c r="B9" s="28" t="n">
        <v>1</v>
      </c>
      <c r="C9" s="29" t="inlineStr">
        <is>
          <t>P&amp;L cấp 2</t>
        </is>
      </c>
      <c r="D9" s="28" t="inlineStr">
        <is>
          <t>Phát sinh</t>
        </is>
      </c>
      <c r="E9" s="29" t="inlineStr">
        <is>
          <t>Badge / chuông khi có đơn chờ cấp 2; duyệt xong</t>
        </is>
      </c>
      <c r="F9" s="29" t="inlineStr">
        <is>
          <t>Số việc chờ giảm</t>
        </is>
      </c>
      <c r="G9" s="7" t="n"/>
      <c r="H9" s="15" t="n"/>
      <c r="I9" s="14" t="n"/>
      <c r="J9" s="7" t="n"/>
      <c r="K9" s="14" t="n"/>
      <c r="L9" s="7" t="n"/>
      <c r="M9" s="7" t="n"/>
      <c r="N9" s="14" t="n"/>
      <c r="O9" s="7" t="n"/>
    </row>
    <row r="10">
      <c r="A10" s="27" t="inlineStr">
        <is>
          <t>BƯỚC 2: NGOẠI LỆ THANH TOÁN &amp; ỦY QUYỀN</t>
        </is>
      </c>
    </row>
    <row r="11">
      <c r="A11" s="12" t="inlineStr">
        <is>
          <t>BOD-004</t>
        </is>
      </c>
      <c r="B11" s="12" t="n">
        <v>2</v>
      </c>
      <c r="C11" s="10" t="inlineStr">
        <is>
          <t>Ngoại lệ</t>
        </is>
      </c>
      <c r="D11" s="12" t="inlineStr">
        <is>
          <t>Luồng chính</t>
        </is>
      </c>
      <c r="E11" s="10" t="inlineStr">
        <is>
          <t>Duyệt ngoại lệ toàn đơn (preload)</t>
        </is>
      </c>
      <c r="F11" s="10" t="inlineStr">
        <is>
          <t>Đặt hàng / xuất kho được dù chưa thu</t>
        </is>
      </c>
      <c r="G11" s="7" t="n"/>
      <c r="H11" s="15" t="n"/>
      <c r="I11" s="14" t="n"/>
      <c r="J11" s="7" t="n"/>
      <c r="K11" s="14" t="n"/>
      <c r="L11" s="7" t="n"/>
      <c r="M11" s="7" t="n"/>
      <c r="N11" s="14" t="n"/>
      <c r="O11" s="7" t="n"/>
    </row>
    <row r="12">
      <c r="A12" s="12" t="inlineStr">
        <is>
          <t>BOD-005</t>
        </is>
      </c>
      <c r="B12" s="12" t="n">
        <v>2</v>
      </c>
      <c r="C12" s="10" t="inlineStr">
        <is>
          <t>Ngoại lệ</t>
        </is>
      </c>
      <c r="D12" s="12" t="inlineStr">
        <is>
          <t>Luồng chính</t>
        </is>
      </c>
      <c r="E12" s="10" t="inlineStr">
        <is>
          <t>Duyệt ngoại lệ 1 đợt</t>
        </is>
      </c>
      <c r="F12" s="10" t="inlineStr">
        <is>
          <t>Chỉ mở khóa giai đoạn của đợt đó</t>
        </is>
      </c>
      <c r="G12" s="7" t="n"/>
      <c r="H12" s="15" t="n"/>
      <c r="I12" s="14" t="n"/>
      <c r="J12" s="7" t="n"/>
      <c r="K12" s="14" t="n"/>
      <c r="L12" s="7" t="n"/>
      <c r="M12" s="7" t="n"/>
      <c r="N12" s="14" t="n"/>
      <c r="O12" s="7" t="n"/>
    </row>
    <row r="13">
      <c r="A13" s="12" t="inlineStr">
        <is>
          <t>BOD-006</t>
        </is>
      </c>
      <c r="B13" s="12" t="n">
        <v>2</v>
      </c>
      <c r="C13" s="10" t="inlineStr">
        <is>
          <t>Ngoại lệ</t>
        </is>
      </c>
      <c r="D13" s="12" t="inlineStr">
        <is>
          <t>Luồng chính</t>
        </is>
      </c>
      <c r="E13" s="10" t="inlineStr">
        <is>
          <t>Ủy quyền cho người khác duyệt ngoại lệ, sau đó thu hồi</t>
        </is>
      </c>
      <c r="F13" s="10" t="inlineStr">
        <is>
          <t>Người được ủy quyền nhận thông báo, duyệt được; sau thu hồi thì không duyệt được</t>
        </is>
      </c>
      <c r="G13" s="7" t="n"/>
      <c r="H13" s="15" t="n"/>
      <c r="I13" s="14" t="n"/>
      <c r="J13" s="7" t="n"/>
      <c r="K13" s="14" t="n"/>
      <c r="L13" s="7" t="n"/>
      <c r="M13" s="7" t="n"/>
      <c r="N13" s="14" t="n"/>
      <c r="O13" s="7" t="n"/>
    </row>
    <row r="14">
      <c r="A14" s="28" t="inlineStr">
        <is>
          <t>BOD-007</t>
        </is>
      </c>
      <c r="B14" s="28" t="n">
        <v>2</v>
      </c>
      <c r="C14" s="29" t="inlineStr">
        <is>
          <t>Ngoại lệ</t>
        </is>
      </c>
      <c r="D14" s="28" t="inlineStr">
        <is>
          <t>Phát sinh</t>
        </is>
      </c>
      <c r="E14" s="29" t="inlineStr">
        <is>
          <t>Người không phải BOD bấm ủy quyền</t>
        </is>
      </c>
      <c r="F14" s="29" t="inlineStr">
        <is>
          <t>Bị chặn "Chỉ BOD mới có quyền ủy quyền…"</t>
        </is>
      </c>
      <c r="G14" s="7" t="n"/>
      <c r="H14" s="15" t="n"/>
      <c r="I14" s="14" t="n"/>
      <c r="J14" s="7" t="n"/>
      <c r="K14" s="14" t="n"/>
      <c r="L14" s="7" t="n"/>
      <c r="M14" s="7" t="n"/>
      <c r="N14" s="14" t="n"/>
      <c r="O14" s="7" t="n"/>
    </row>
    <row r="15">
      <c r="A15" s="27" t="inlineStr">
        <is>
          <t>BƯỚC 3: MỞ LẠI P&amp;L ĐÃ DUYỆT</t>
        </is>
      </c>
    </row>
    <row r="16">
      <c r="A16" s="12" t="inlineStr">
        <is>
          <t>BOD-008</t>
        </is>
      </c>
      <c r="B16" s="12" t="n">
        <v>3</v>
      </c>
      <c r="C16" s="10" t="inlineStr">
        <is>
          <t>Mở lại P&amp;L</t>
        </is>
      </c>
      <c r="D16" s="12" t="inlineStr">
        <is>
          <t>Luồng chính</t>
        </is>
      </c>
      <c r="E16" s="10" t="inlineStr">
        <is>
          <t>Duyệt yêu cầu mở lại P&amp;L</t>
        </is>
      </c>
      <c r="F16" s="10" t="inlineStr">
        <is>
          <t>P&amp;L mở cho Sales sửa</t>
        </is>
      </c>
      <c r="G16" s="7" t="n"/>
      <c r="H16" s="15" t="n"/>
      <c r="I16" s="14" t="n"/>
      <c r="J16" s="7" t="n"/>
      <c r="K16" s="14" t="n"/>
      <c r="L16" s="7" t="n"/>
      <c r="M16" s="7" t="n"/>
      <c r="N16" s="14" t="n"/>
      <c r="O16" s="7" t="n"/>
    </row>
    <row r="17">
      <c r="A17" s="12" t="inlineStr">
        <is>
          <t>BOD-009</t>
        </is>
      </c>
      <c r="B17" s="12" t="n">
        <v>3</v>
      </c>
      <c r="C17" s="10" t="inlineStr">
        <is>
          <t>Mở lại P&amp;L</t>
        </is>
      </c>
      <c r="D17" s="12" t="inlineStr">
        <is>
          <t>Luồng chính</t>
        </is>
      </c>
      <c r="E17" s="10" t="inlineStr">
        <is>
          <t>Từ chối yêu cầu mở lại</t>
        </is>
      </c>
      <c r="F17" s="10" t="inlineStr">
        <is>
          <t>P&amp;L giữ khóa, Sales nhận lý do</t>
        </is>
      </c>
      <c r="G17" s="7" t="n"/>
      <c r="H17" s="15" t="n"/>
      <c r="I17" s="14" t="n"/>
      <c r="J17" s="7" t="n"/>
      <c r="K17" s="14" t="n"/>
      <c r="L17" s="7" t="n"/>
      <c r="M17" s="7" t="n"/>
      <c r="N17" s="14" t="n"/>
      <c r="O17" s="7" t="n"/>
    </row>
    <row r="18">
      <c r="A18" s="27" t="inlineStr">
        <is>
          <t>BƯỚC 4: DUYỆT VIỆC MARKETING / CƠ HỘI</t>
        </is>
      </c>
    </row>
    <row r="19">
      <c r="A19" s="12" t="inlineStr">
        <is>
          <t>BOD-010</t>
        </is>
      </c>
      <c r="B19" s="12" t="n">
        <v>4</v>
      </c>
      <c r="C19" s="10" t="inlineStr">
        <is>
          <t>Marketing / cơ hội</t>
        </is>
      </c>
      <c r="D19" s="12" t="inlineStr">
        <is>
          <t>Luồng chính</t>
        </is>
      </c>
      <c r="E19" s="10" t="inlineStr">
        <is>
          <t>Xác nhận hoạt động trình bày giải pháp</t>
        </is>
      </c>
      <c r="F19" s="10" t="inlineStr">
        <is>
          <t>Sales hoàn thành được hoạt động</t>
        </is>
      </c>
      <c r="G19" s="7" t="n"/>
      <c r="H19" s="15" t="n"/>
      <c r="I19" s="14" t="n"/>
      <c r="J19" s="7" t="n"/>
      <c r="K19" s="14" t="n"/>
      <c r="L19" s="7" t="n"/>
      <c r="M19" s="7" t="n"/>
      <c r="N19" s="14" t="n"/>
      <c r="O19" s="7" t="n"/>
    </row>
    <row r="20">
      <c r="A20" s="12" t="inlineStr">
        <is>
          <t>BOD-011</t>
        </is>
      </c>
      <c r="B20" s="12" t="n">
        <v>4</v>
      </c>
      <c r="C20" s="10" t="inlineStr">
        <is>
          <t>Marketing / cơ hội</t>
        </is>
      </c>
      <c r="D20" s="12" t="inlineStr">
        <is>
          <t>Luồng chính</t>
        </is>
      </c>
      <c r="E20" s="10" t="inlineStr">
        <is>
          <t>Duyệt / từ chối quà tặng của cơ hội</t>
        </is>
      </c>
      <c r="F20" s="10" t="inlineStr">
        <is>
          <t>Duyệt: Marketing nhận việc. Từ chối: Sales nhận lý do</t>
        </is>
      </c>
      <c r="G20" s="7" t="n"/>
      <c r="H20" s="15" t="n"/>
      <c r="I20" s="14" t="n"/>
      <c r="J20" s="7" t="n"/>
      <c r="K20" s="14" t="n"/>
      <c r="L20" s="7" t="n"/>
      <c r="M20" s="7" t="n"/>
      <c r="N20" s="14" t="n"/>
      <c r="O20" s="7" t="n"/>
    </row>
    <row r="21">
      <c r="A21" s="12" t="inlineStr">
        <is>
          <t>BOD-012</t>
        </is>
      </c>
      <c r="B21" s="12" t="n">
        <v>4</v>
      </c>
      <c r="C21" s="10" t="inlineStr">
        <is>
          <t>Marketing / cơ hội</t>
        </is>
      </c>
      <c r="D21" s="12" t="inlineStr">
        <is>
          <t>Luồng chính</t>
        </is>
      </c>
      <c r="E21" s="10" t="inlineStr">
        <is>
          <t>Duyệt ngân sách sự kiện sau Order Management duyệt cấp 1</t>
        </is>
      </c>
      <c r="F21" s="10" t="inlineStr">
        <is>
          <t>Sự kiện Đã duyệt</t>
        </is>
      </c>
      <c r="G21" s="7" t="n"/>
      <c r="H21" s="15" t="n"/>
      <c r="I21" s="14" t="n"/>
      <c r="J21" s="7" t="n"/>
      <c r="K21" s="14" t="n"/>
      <c r="L21" s="7" t="n"/>
      <c r="M21" s="7" t="n"/>
      <c r="N21" s="14" t="n"/>
      <c r="O21" s="7" t="n"/>
    </row>
    <row r="22">
      <c r="A22" s="12" t="inlineStr">
        <is>
          <t>BOD-013</t>
        </is>
      </c>
      <c r="B22" s="12" t="n">
        <v>4</v>
      </c>
      <c r="C22" s="10" t="inlineStr">
        <is>
          <t>Marketing / cơ hội</t>
        </is>
      </c>
      <c r="D22" s="12" t="inlineStr">
        <is>
          <t>Luồng chính</t>
        </is>
      </c>
      <c r="E22" s="10" t="inlineStr">
        <is>
          <t>Duyệt vật phẩm mới, chi phí, đi công tác</t>
        </is>
      </c>
      <c r="F22" s="10" t="inlineStr">
        <is>
          <t>Đúng như sheet Marketing</t>
        </is>
      </c>
      <c r="G22" s="7" t="n"/>
      <c r="H22" s="15" t="n"/>
      <c r="I22" s="14" t="n"/>
      <c r="J22" s="7" t="n"/>
      <c r="K22" s="14" t="n"/>
      <c r="L22" s="7" t="n"/>
      <c r="M22" s="7" t="n"/>
      <c r="N22" s="14" t="n"/>
      <c r="O22" s="7" t="n"/>
    </row>
    <row r="23">
      <c r="A23" s="27" t="inlineStr">
        <is>
          <t>BƯỚC 5: DASHBOARD &amp; BÁO CÁO</t>
        </is>
      </c>
    </row>
    <row r="24">
      <c r="A24" s="12" t="inlineStr">
        <is>
          <t>BOD-014</t>
        </is>
      </c>
      <c r="B24" s="12" t="n">
        <v>5</v>
      </c>
      <c r="C24" s="10" t="inlineStr">
        <is>
          <t>Dashboard</t>
        </is>
      </c>
      <c r="D24" s="12" t="inlineStr">
        <is>
          <t>Luồng chính</t>
        </is>
      </c>
      <c r="E24" s="10" t="inlineStr">
        <is>
          <t>Dashboard: lọc kỳ / phòng / nhân viên, drill-down</t>
        </is>
      </c>
      <c r="F24" s="10" t="inlineStr">
        <is>
          <t>Số liệu khớp danh sách gốc</t>
        </is>
      </c>
      <c r="G24" s="7" t="n"/>
      <c r="H24" s="15" t="n"/>
      <c r="I24" s="14" t="n"/>
      <c r="J24" s="7" t="n"/>
      <c r="K24" s="14" t="n"/>
      <c r="L24" s="7" t="n"/>
      <c r="M24" s="7" t="n"/>
      <c r="N24" s="14" t="n"/>
      <c r="O24" s="7" t="n"/>
    </row>
    <row r="25">
      <c r="A25" s="12" t="inlineStr">
        <is>
          <t>BOD-015</t>
        </is>
      </c>
      <c r="B25" s="12" t="n">
        <v>5</v>
      </c>
      <c r="C25" s="10" t="inlineStr">
        <is>
          <t>Dashboard</t>
        </is>
      </c>
      <c r="D25" s="12" t="inlineStr">
        <is>
          <t>Luồng chính</t>
        </is>
      </c>
      <c r="E25" s="10" t="inlineStr">
        <is>
          <t>Dashboard hoạt động kinh doanh: làm mới, xuất file</t>
        </is>
      </c>
      <c r="F25" s="10" t="inlineStr">
        <is>
          <t>Chạy được, file đúng</t>
        </is>
      </c>
      <c r="G25" s="7" t="n"/>
      <c r="H25" s="15" t="n"/>
      <c r="I25" s="14" t="n"/>
      <c r="J25" s="7" t="n"/>
      <c r="K25" s="14" t="n"/>
      <c r="L25" s="7" t="n"/>
      <c r="M25" s="7" t="n"/>
      <c r="N25" s="14" t="n"/>
      <c r="O25" s="7" t="n"/>
    </row>
    <row r="26">
      <c r="A26" s="12" t="inlineStr">
        <is>
          <t>BOD-016</t>
        </is>
      </c>
      <c r="B26" s="12" t="n">
        <v>5</v>
      </c>
      <c r="C26" s="10" t="inlineStr">
        <is>
          <t>Báo cáo</t>
        </is>
      </c>
      <c r="D26" s="12" t="inlineStr">
        <is>
          <t>Luồng chính</t>
        </is>
      </c>
      <c r="E26" s="10" t="inlineStr">
        <is>
          <t>Báo cáo bán hàng / margin, mua hàng, tần suất gặp, dự án</t>
        </is>
      </c>
      <c r="F26" s="10" t="inlineStr">
        <is>
          <t>Số liệu khớp</t>
        </is>
      </c>
      <c r="G26" s="7" t="n"/>
      <c r="H26" s="15" t="n"/>
      <c r="I26" s="14" t="n"/>
      <c r="J26" s="7" t="n"/>
      <c r="K26" s="14" t="n"/>
      <c r="L26" s="7" t="n"/>
      <c r="M26" s="7" t="n"/>
      <c r="N26" s="14" t="n"/>
      <c r="O26" s="7" t="n"/>
    </row>
    <row r="27">
      <c r="A27" s="28" t="inlineStr">
        <is>
          <t>BOD-017</t>
        </is>
      </c>
      <c r="B27" s="28" t="n">
        <v>5</v>
      </c>
      <c r="C27" s="29" t="inlineStr">
        <is>
          <t>Báo cáo</t>
        </is>
      </c>
      <c r="D27" s="28" t="inlineStr">
        <is>
          <t>Phát sinh</t>
        </is>
      </c>
      <c r="E27" s="29" t="inlineStr">
        <is>
          <t>Chọn kỳ không có dữ liệu</t>
        </is>
      </c>
      <c r="F27" s="29" t="inlineStr">
        <is>
          <t>Hiển thị 0 / trống, không lỗi</t>
        </is>
      </c>
      <c r="G27" s="7" t="n"/>
      <c r="H27" s="15" t="n"/>
      <c r="I27" s="14" t="n"/>
      <c r="J27" s="7" t="n"/>
      <c r="K27" s="14" t="n"/>
      <c r="L27" s="7" t="n"/>
      <c r="M27" s="7" t="n"/>
      <c r="N27" s="14" t="n"/>
      <c r="O27" s="7" t="n"/>
    </row>
    <row r="28">
      <c r="A28" s="27" t="inlineStr">
        <is>
          <t>BƯỚC 6: TỔNG DOANH SỐ</t>
        </is>
      </c>
    </row>
    <row r="29">
      <c r="A29" s="12" t="inlineStr">
        <is>
          <t>BOD-018</t>
        </is>
      </c>
      <c r="B29" s="12" t="n">
        <v>6</v>
      </c>
      <c r="C29" s="10" t="inlineStr">
        <is>
          <t>Tổng doanh số</t>
        </is>
      </c>
      <c r="D29" s="12" t="inlineStr">
        <is>
          <t>Luồng chính</t>
        </is>
      </c>
      <c r="E29" s="10" t="inlineStr">
        <is>
          <t>BOD xóa 1 dòng tổng doanh số</t>
        </is>
      </c>
      <c r="F29" s="10" t="inlineStr">
        <is>
          <t>Xóa được; tài khoản khác bị chặn</t>
        </is>
      </c>
      <c r="G29" s="7" t="n"/>
      <c r="H29" s="15" t="n"/>
      <c r="I29" s="14" t="n"/>
      <c r="J29" s="7" t="n"/>
      <c r="K29" s="14" t="n"/>
      <c r="L29" s="7" t="n"/>
      <c r="M29" s="7" t="n"/>
      <c r="N29" s="14" t="n"/>
      <c r="O29" s="7" t="n"/>
    </row>
  </sheetData>
  <autoFilter ref="A5:O29"/>
  <mergeCells count="9">
    <mergeCell ref="A15:O15"/>
    <mergeCell ref="A2:O2"/>
    <mergeCell ref="A10:O10"/>
    <mergeCell ref="A28:O28"/>
    <mergeCell ref="A1:O1"/>
    <mergeCell ref="A23:O23"/>
    <mergeCell ref="A6:O6"/>
    <mergeCell ref="A18:O18"/>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O3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ADMIN KIỂM SOÁT ĐƠN HÀNG – DUYỆT YÊU CẦU ĐẶT HÀNG &amp; ĐỀ XUẤT XUẤT KHO</t>
        </is>
      </c>
    </row>
    <row r="2" ht="30" customHeight="1">
      <c r="A2" s="21" t="inlineStr">
        <is>
          <t>Tài khoản test: Admin (người duyệt); Sales Staff; Finance Team; Nhân viên kho. Lưu ý quyền theo code: duyệt yêu cầu đặt hàng = Admin, Order Management, Quản trị viên, BOD, PO Manager, Sales Manager; duyệt xuất kho = Quản trị viên, Admin, PO Manager hoặc vai trò có quyền approve_exports (Order Management đang có quyền này nên duyệt xuất kho được).</t>
        </is>
      </c>
    </row>
    <row r="3" ht="48" customHeight="1">
      <c r="A3" s="5" t="inlineStr">
        <is>
          <t>Admin là chốt kiểm tra hồ sơ ở hai khâu. Khâu đặt hàng: trước khi PO Team đặt Hãng, Admin xác nhận đơn đã duyệt P&amp;L và đủ giấy tờ (hợp đồng / PO khách, BOM, thông tin End User…). Khâu xuất hàng: trước khi Kho giao, Admin xác nhận hàng đã đủ, khách đã thanh toán đúng điều kiện và giấy tờ giao hàng đã sẵn sàng. Thiếu gì thì trả về cho Sales kèm lý do cụ thể.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NHẬN YÊU CẦU ĐẶT HÀNG</t>
        </is>
      </c>
    </row>
    <row r="7">
      <c r="A7" s="12" t="inlineStr">
        <is>
          <t>OAD-001</t>
        </is>
      </c>
      <c r="B7" s="12" t="n">
        <v>1</v>
      </c>
      <c r="C7" s="10" t="inlineStr">
        <is>
          <t>Nhận yêu cầu</t>
        </is>
      </c>
      <c r="D7" s="12" t="inlineStr">
        <is>
          <t>Luồng chính</t>
        </is>
      </c>
      <c r="E7" s="10" t="inlineStr">
        <is>
          <t>Sales gửi yêu cầu đặt hàng</t>
        </is>
      </c>
      <c r="F7" s="10" t="inlineStr">
        <is>
          <t>Admin nhận thông báo, badge tăng, yêu cầu ở "Chờ Admin duyệt"</t>
        </is>
      </c>
      <c r="G7" s="7" t="n"/>
      <c r="H7" s="15" t="n"/>
      <c r="I7" s="14" t="n"/>
      <c r="J7" s="7" t="n"/>
      <c r="K7" s="14" t="n"/>
      <c r="L7" s="7" t="n"/>
      <c r="M7" s="7" t="n"/>
      <c r="N7" s="14" t="n"/>
      <c r="O7" s="7" t="n"/>
    </row>
    <row r="8">
      <c r="A8" s="27" t="inlineStr">
        <is>
          <t>BƯỚC 2: KIỂM TRA HỒ SƠ ĐẶT HÀNG</t>
        </is>
      </c>
    </row>
    <row r="9">
      <c r="A9" s="12" t="inlineStr">
        <is>
          <t>OAD-002</t>
        </is>
      </c>
      <c r="B9" s="12" t="n">
        <v>2</v>
      </c>
      <c r="C9" s="10" t="inlineStr">
        <is>
          <t>Kiểm tra hồ sơ</t>
        </is>
      </c>
      <c r="D9" s="12" t="inlineStr">
        <is>
          <t>Luồng chính</t>
        </is>
      </c>
      <c r="E9" s="10" t="inlineStr">
        <is>
          <t>Mở yêu cầu: xem P&amp;L, file đính kèm, các dòng hàng, End User, POS-ID</t>
        </is>
      </c>
      <c r="F9" s="10" t="inlineStr">
        <is>
          <t>Đủ thông tin để kiểm; xem trước / tải file được</t>
        </is>
      </c>
      <c r="G9" s="7" t="n"/>
      <c r="H9" s="15" t="n"/>
      <c r="I9" s="14" t="n"/>
      <c r="J9" s="7" t="n"/>
      <c r="K9" s="14" t="n"/>
      <c r="L9" s="7" t="n"/>
      <c r="M9" s="7" t="n"/>
      <c r="N9" s="14" t="n"/>
      <c r="O9" s="7" t="n"/>
    </row>
    <row r="10">
      <c r="A10" s="27" t="inlineStr">
        <is>
          <t>BƯỚC 3: DUYỆT / TRẢ VỀ YÊU CẦU ĐẶT HÀNG</t>
        </is>
      </c>
    </row>
    <row r="11">
      <c r="A11" s="12" t="inlineStr">
        <is>
          <t>OAD-003</t>
        </is>
      </c>
      <c r="B11" s="12" t="n">
        <v>3</v>
      </c>
      <c r="C11" s="10" t="inlineStr">
        <is>
          <t>Duyệt đặt hàng</t>
        </is>
      </c>
      <c r="D11" s="12" t="inlineStr">
        <is>
          <t>Luồng chính</t>
        </is>
      </c>
      <c r="E11" s="10" t="inlineStr">
        <is>
          <t>Hồ sơ đủ → Duyệt</t>
        </is>
      </c>
      <c r="F11" s="10" t="inlineStr">
        <is>
          <t>"Đã gửi"; Sales nhận "đã được Admin duyệt"; PO Team thấy ở Duyệt yêu cầu (PR)</t>
        </is>
      </c>
      <c r="G11" s="7" t="n"/>
      <c r="H11" s="15" t="n"/>
      <c r="I11" s="14" t="n"/>
      <c r="J11" s="7" t="n"/>
      <c r="K11" s="14" t="n"/>
      <c r="L11" s="7" t="n"/>
      <c r="M11" s="7" t="n"/>
      <c r="N11" s="14" t="n"/>
      <c r="O11" s="7" t="n"/>
    </row>
    <row r="12">
      <c r="A12" s="28" t="inlineStr">
        <is>
          <t>OAD-004</t>
        </is>
      </c>
      <c r="B12" s="28" t="n">
        <v>3</v>
      </c>
      <c r="C12" s="29" t="inlineStr">
        <is>
          <t>Duyệt đặt hàng</t>
        </is>
      </c>
      <c r="D12" s="28" t="inlineStr">
        <is>
          <t>Phát sinh</t>
        </is>
      </c>
      <c r="E12" s="29" t="inlineStr">
        <is>
          <t>Thiếu file hợp đồng / PO khách → trả về Thiếu thông tin kèm lý do</t>
        </is>
      </c>
      <c r="F12" s="29" t="inlineStr">
        <is>
          <t>Sales nhận lý do, mở đúng yêu cầu để bổ sung, gửi lại → về Chờ Admin duyệt</t>
        </is>
      </c>
      <c r="G12" s="7" t="n"/>
      <c r="H12" s="15" t="n"/>
      <c r="I12" s="14" t="n"/>
      <c r="J12" s="7" t="n"/>
      <c r="K12" s="14" t="n"/>
      <c r="L12" s="7" t="n"/>
      <c r="M12" s="7" t="n"/>
      <c r="N12" s="14" t="n"/>
      <c r="O12" s="7" t="n"/>
    </row>
    <row r="13">
      <c r="A13" s="28" t="inlineStr">
        <is>
          <t>OAD-005</t>
        </is>
      </c>
      <c r="B13" s="28" t="n">
        <v>3</v>
      </c>
      <c r="C13" s="29" t="inlineStr">
        <is>
          <t>Duyệt đặt hàng</t>
        </is>
      </c>
      <c r="D13" s="28" t="inlineStr">
        <is>
          <t>Phát sinh</t>
        </is>
      </c>
      <c r="E13" s="29" t="inlineStr">
        <is>
          <t>Giá vốn / chi phí sai → trả về chỉnh P&amp;L</t>
        </is>
      </c>
      <c r="F13" s="29" t="inlineStr">
        <is>
          <t>P&amp;L "Cần sửa"; sau khi sửa phải qua Legal và BOD lại</t>
        </is>
      </c>
      <c r="G13" s="7" t="n"/>
      <c r="H13" s="15" t="n"/>
      <c r="I13" s="14" t="n"/>
      <c r="J13" s="7" t="n"/>
      <c r="K13" s="14" t="n"/>
      <c r="L13" s="7" t="n"/>
      <c r="M13" s="7" t="n"/>
      <c r="N13" s="14" t="n"/>
      <c r="O13" s="7" t="n"/>
    </row>
    <row r="14">
      <c r="A14" s="28" t="inlineStr">
        <is>
          <t>OAD-006</t>
        </is>
      </c>
      <c r="B14" s="28" t="n">
        <v>3</v>
      </c>
      <c r="C14" s="29" t="inlineStr">
        <is>
          <t>Duyệt đặt hàng</t>
        </is>
      </c>
      <c r="D14" s="28" t="inlineStr">
        <is>
          <t>Phát sinh</t>
        </is>
      </c>
      <c r="E14" s="29" t="inlineStr">
        <is>
          <t>Trả về mà không nhập lý do</t>
        </is>
      </c>
      <c r="F14" s="29" t="inlineStr">
        <is>
          <t>Bị chặn (bắt buộc lý do)</t>
        </is>
      </c>
      <c r="G14" s="7" t="n"/>
      <c r="H14" s="15" t="n"/>
      <c r="I14" s="14" t="n"/>
      <c r="J14" s="7" t="n"/>
      <c r="K14" s="14" t="n"/>
      <c r="L14" s="7" t="n"/>
      <c r="M14" s="7" t="n"/>
      <c r="N14" s="14" t="n"/>
      <c r="O14" s="7" t="n"/>
    </row>
    <row r="15">
      <c r="A15" s="28" t="inlineStr">
        <is>
          <t>OAD-007</t>
        </is>
      </c>
      <c r="B15" s="28" t="n">
        <v>3</v>
      </c>
      <c r="C15" s="29" t="inlineStr">
        <is>
          <t>Duyệt đặt hàng</t>
        </is>
      </c>
      <c r="D15" s="28" t="inlineStr">
        <is>
          <t>Phát sinh</t>
        </is>
      </c>
      <c r="E15" s="29" t="inlineStr">
        <is>
          <t>Duyệt yêu cầu không ở Chờ Admin duyệt</t>
        </is>
      </c>
      <c r="F15" s="29" t="inlineStr">
        <is>
          <t>Bị chặn "Yêu cầu không ở trạng thái Chờ Admin duyệt."</t>
        </is>
      </c>
      <c r="G15" s="7" t="n"/>
      <c r="H15" s="15" t="n"/>
      <c r="I15" s="14" t="n"/>
      <c r="J15" s="7" t="n"/>
      <c r="K15" s="14" t="n"/>
      <c r="L15" s="7" t="n"/>
      <c r="M15" s="7" t="n"/>
      <c r="N15" s="14" t="n"/>
      <c r="O15" s="7" t="n"/>
    </row>
    <row r="16">
      <c r="A16" s="28" t="inlineStr">
        <is>
          <t>OAD-008</t>
        </is>
      </c>
      <c r="B16" s="28" t="n">
        <v>3</v>
      </c>
      <c r="C16" s="29" t="inlineStr">
        <is>
          <t>Duyệt đặt hàng</t>
        </is>
      </c>
      <c r="D16" s="28" t="inlineStr">
        <is>
          <t>Phát sinh</t>
        </is>
      </c>
      <c r="E16" s="29" t="inlineStr">
        <is>
          <t>Tài khoản Sales Staff bấm duyệt yêu cầu đặt hàng</t>
        </is>
      </c>
      <c r="F16" s="29" t="inlineStr">
        <is>
          <t>Bị chặn "Bạn không có quyền…"</t>
        </is>
      </c>
      <c r="G16" s="7" t="n"/>
      <c r="H16" s="15" t="n"/>
      <c r="I16" s="14" t="n"/>
      <c r="J16" s="7" t="n"/>
      <c r="K16" s="14" t="n"/>
      <c r="L16" s="7" t="n"/>
      <c r="M16" s="7" t="n"/>
      <c r="N16" s="14" t="n"/>
      <c r="O16" s="7" t="n"/>
    </row>
    <row r="17">
      <c r="A17" s="28" t="inlineStr">
        <is>
          <t>OAD-009</t>
        </is>
      </c>
      <c r="B17" s="28" t="n">
        <v>3</v>
      </c>
      <c r="C17" s="29" t="inlineStr">
        <is>
          <t>Duyệt đặt hàng</t>
        </is>
      </c>
      <c r="D17" s="28" t="inlineStr">
        <is>
          <t>Phát sinh</t>
        </is>
      </c>
      <c r="E17" s="29" t="inlineStr">
        <is>
          <t>Sales bổ sung rồi gửi lại</t>
        </is>
      </c>
      <c r="F17" s="29" t="inlineStr">
        <is>
          <t>Lịch sử ghi lần trả về và lần gửi lại</t>
        </is>
      </c>
      <c r="G17" s="7" t="n"/>
      <c r="H17" s="15" t="n"/>
      <c r="I17" s="14" t="n"/>
      <c r="J17" s="7" t="n"/>
      <c r="K17" s="14" t="n"/>
      <c r="L17" s="7" t="n"/>
      <c r="M17" s="7" t="n"/>
      <c r="N17" s="14" t="n"/>
      <c r="O17" s="7" t="n"/>
    </row>
    <row r="18">
      <c r="A18" s="27" t="inlineStr">
        <is>
          <t>BƯỚC 4: NHẬN ĐỀ XUẤT XUẤT KHO</t>
        </is>
      </c>
    </row>
    <row r="19">
      <c r="A19" s="12" t="inlineStr">
        <is>
          <t>OAD-010</t>
        </is>
      </c>
      <c r="B19" s="12" t="n">
        <v>4</v>
      </c>
      <c r="C19" s="10" t="inlineStr">
        <is>
          <t>Nhận đề xuất xuất</t>
        </is>
      </c>
      <c r="D19" s="12" t="inlineStr">
        <is>
          <t>Luồng chính</t>
        </is>
      </c>
      <c r="E19" s="10" t="inlineStr">
        <is>
          <t>Sales gửi đề xuất xuất kho</t>
        </is>
      </c>
      <c r="F19" s="10" t="inlineStr">
        <is>
          <t>Admin nhận "Đề xuất xuất kho mới"; Kho nhận thông báo chuẩn bị hàng</t>
        </is>
      </c>
      <c r="G19" s="7" t="n"/>
      <c r="H19" s="15" t="n"/>
      <c r="I19" s="14" t="n"/>
      <c r="J19" s="7" t="n"/>
      <c r="K19" s="14" t="n"/>
      <c r="L19" s="7" t="n"/>
      <c r="M19" s="7" t="n"/>
      <c r="N19" s="14" t="n"/>
      <c r="O19" s="7" t="n"/>
    </row>
    <row r="20">
      <c r="A20" s="28" t="inlineStr">
        <is>
          <t>OAD-011</t>
        </is>
      </c>
      <c r="B20" s="28" t="n">
        <v>4</v>
      </c>
      <c r="C20" s="29" t="inlineStr">
        <is>
          <t>Nhận đề xuất xuất</t>
        </is>
      </c>
      <c r="D20" s="28" t="inlineStr">
        <is>
          <t>Phát sinh</t>
        </is>
      </c>
      <c r="E20" s="29" t="inlineStr">
        <is>
          <t>Hàng runrate mà Sales chỉ giữ thiếu suất, gửi đề xuất</t>
        </is>
      </c>
      <c r="F20" s="29" t="inlineStr">
        <is>
          <t>Không gửi được, báo "… chỉ đang giữ x/y"</t>
        </is>
      </c>
      <c r="G20" s="7" t="n"/>
      <c r="H20" s="15" t="n"/>
      <c r="I20" s="14" t="n"/>
      <c r="J20" s="7" t="n"/>
      <c r="K20" s="14" t="n"/>
      <c r="L20" s="7" t="n"/>
      <c r="M20" s="7" t="n"/>
      <c r="N20" s="14" t="n"/>
      <c r="O20" s="7" t="n"/>
    </row>
    <row r="21">
      <c r="A21" s="27" t="inlineStr">
        <is>
          <t>BƯỚC 5: KIỂM TRA ĐIỀU KIỆN XUẤT HÀNG</t>
        </is>
      </c>
    </row>
    <row r="22">
      <c r="A22" s="12" t="inlineStr">
        <is>
          <t>OAD-012</t>
        </is>
      </c>
      <c r="B22" s="12" t="n">
        <v>5</v>
      </c>
      <c r="C22" s="10" t="inlineStr">
        <is>
          <t>Kiểm tra xuất</t>
        </is>
      </c>
      <c r="D22" s="12" t="inlineStr">
        <is>
          <t>Luồng chính</t>
        </is>
      </c>
      <c r="E22" s="10" t="inlineStr">
        <is>
          <t>Mở phiếu xuất: xem SO, dòng xuất, số lượng, tình trạng thanh toán, hóa đơn</t>
        </is>
      </c>
      <c r="F22" s="10" t="inlineStr">
        <is>
          <t>Đủ thông tin để kiểm</t>
        </is>
      </c>
      <c r="G22" s="7" t="n"/>
      <c r="H22" s="15" t="n"/>
      <c r="I22" s="14" t="n"/>
      <c r="J22" s="7" t="n"/>
      <c r="K22" s="14" t="n"/>
      <c r="L22" s="7" t="n"/>
      <c r="M22" s="7" t="n"/>
      <c r="N22" s="14" t="n"/>
      <c r="O22" s="7" t="n"/>
    </row>
    <row r="23">
      <c r="A23" s="27" t="inlineStr">
        <is>
          <t>BƯỚC 6: DUYỆT / TỪ CHỐI XUẤT KHO</t>
        </is>
      </c>
    </row>
    <row r="24">
      <c r="A24" s="12" t="inlineStr">
        <is>
          <t>OAD-013</t>
        </is>
      </c>
      <c r="B24" s="12" t="n">
        <v>6</v>
      </c>
      <c r="C24" s="10" t="inlineStr">
        <is>
          <t>Duyệt xuất kho</t>
        </is>
      </c>
      <c r="D24" s="12" t="inlineStr">
        <is>
          <t>Luồng chính</t>
        </is>
      </c>
      <c r="E24" s="10" t="inlineStr">
        <is>
          <t>Duyệt phiếu khi đơn chưa có HĐ chính thức</t>
        </is>
      </c>
      <c r="F24" s="10" t="inlineStr">
        <is>
          <t>"Chờ KT xuất hóa đơn", Kế toán nhận thông báo</t>
        </is>
      </c>
      <c r="G24" s="7" t="n"/>
      <c r="H24" s="15" t="n"/>
      <c r="I24" s="14" t="n"/>
      <c r="J24" s="7" t="n"/>
      <c r="K24" s="14" t="n"/>
      <c r="L24" s="7" t="n"/>
      <c r="M24" s="7" t="n"/>
      <c r="N24" s="14" t="n"/>
      <c r="O24" s="7" t="n"/>
    </row>
    <row r="25">
      <c r="A25" s="12" t="inlineStr">
        <is>
          <t>OAD-014</t>
        </is>
      </c>
      <c r="B25" s="12" t="n">
        <v>6</v>
      </c>
      <c r="C25" s="10" t="inlineStr">
        <is>
          <t>Duyệt xuất kho</t>
        </is>
      </c>
      <c r="D25" s="12" t="inlineStr">
        <is>
          <t>Luồng chính</t>
        </is>
      </c>
      <c r="E25" s="10" t="inlineStr">
        <is>
          <t>Duyệt phiếu khi đơn đã có HĐ chính thức</t>
        </is>
      </c>
      <c r="F25" s="10" t="inlineStr">
        <is>
          <t>Sẵn sàng xuất thực tế, Kho nhận thông báo</t>
        </is>
      </c>
      <c r="G25" s="7" t="n"/>
      <c r="H25" s="15" t="n"/>
      <c r="I25" s="14" t="n"/>
      <c r="J25" s="7" t="n"/>
      <c r="K25" s="14" t="n"/>
      <c r="L25" s="7" t="n"/>
      <c r="M25" s="7" t="n"/>
      <c r="N25" s="14" t="n"/>
      <c r="O25" s="7" t="n"/>
    </row>
    <row r="26">
      <c r="A26" s="28" t="inlineStr">
        <is>
          <t>OAD-015</t>
        </is>
      </c>
      <c r="B26" s="28" t="n">
        <v>6</v>
      </c>
      <c r="C26" s="29" t="inlineStr">
        <is>
          <t>Duyệt xuất kho</t>
        </is>
      </c>
      <c r="D26" s="28" t="inlineStr">
        <is>
          <t>Phát sinh</t>
        </is>
      </c>
      <c r="E26" s="29" t="inlineStr">
        <is>
          <t>Đợt "trước xuất hàng" chưa được Kế toán xác nhận, bấm duyệt</t>
        </is>
      </c>
      <c r="F26" s="29" t="inlineStr">
        <is>
          <t>Bị chặn, liệt kê đợt còn thiếu</t>
        </is>
      </c>
      <c r="G26" s="7" t="n"/>
      <c r="H26" s="15" t="n"/>
      <c r="I26" s="14" t="n"/>
      <c r="J26" s="7" t="n"/>
      <c r="K26" s="14" t="n"/>
      <c r="L26" s="7" t="n"/>
      <c r="M26" s="7" t="n"/>
      <c r="N26" s="14" t="n"/>
      <c r="O26" s="7" t="n"/>
    </row>
    <row r="27">
      <c r="A27" s="28" t="inlineStr">
        <is>
          <t>OAD-016</t>
        </is>
      </c>
      <c r="B27" s="28" t="n">
        <v>6</v>
      </c>
      <c r="C27" s="29" t="inlineStr">
        <is>
          <t>Duyệt xuất kho</t>
        </is>
      </c>
      <c r="D27" s="28" t="inlineStr">
        <is>
          <t>Phát sinh</t>
        </is>
      </c>
      <c r="E27" s="29" t="inlineStr">
        <is>
          <t>Đơn có ngoại lệ BOD cho xuất trước</t>
        </is>
      </c>
      <c r="F27" s="29" t="inlineStr">
        <is>
          <t>Duyệt được</t>
        </is>
      </c>
      <c r="G27" s="7" t="n"/>
      <c r="H27" s="15" t="n"/>
      <c r="I27" s="14" t="n"/>
      <c r="J27" s="7" t="n"/>
      <c r="K27" s="14" t="n"/>
      <c r="L27" s="7" t="n"/>
      <c r="M27" s="7" t="n"/>
      <c r="N27" s="14" t="n"/>
      <c r="O27" s="7" t="n"/>
    </row>
    <row r="28">
      <c r="A28" s="28" t="inlineStr">
        <is>
          <t>OAD-017</t>
        </is>
      </c>
      <c r="B28" s="28" t="n">
        <v>6</v>
      </c>
      <c r="C28" s="29" t="inlineStr">
        <is>
          <t>Duyệt xuất kho</t>
        </is>
      </c>
      <c r="D28" s="28" t="inlineStr">
        <is>
          <t>Phát sinh</t>
        </is>
      </c>
      <c r="E28" s="29" t="inlineStr">
        <is>
          <t>Từ chối kèm lý do</t>
        </is>
      </c>
      <c r="F28" s="29" t="inlineStr">
        <is>
          <t>Phiếu về Bản nháp, Sales nhận lý do, sửa gửi lại được</t>
        </is>
      </c>
      <c r="G28" s="7" t="n"/>
      <c r="H28" s="15" t="n"/>
      <c r="I28" s="14" t="n"/>
      <c r="J28" s="7" t="n"/>
      <c r="K28" s="14" t="n"/>
      <c r="L28" s="7" t="n"/>
      <c r="M28" s="7" t="n"/>
      <c r="N28" s="14" t="n"/>
      <c r="O28" s="7" t="n"/>
    </row>
    <row r="29">
      <c r="A29" s="28" t="inlineStr">
        <is>
          <t>OAD-018</t>
        </is>
      </c>
      <c r="B29" s="28" t="n">
        <v>6</v>
      </c>
      <c r="C29" s="29" t="inlineStr">
        <is>
          <t>Duyệt xuất kho</t>
        </is>
      </c>
      <c r="D29" s="28" t="inlineStr">
        <is>
          <t>Phát sinh</t>
        </is>
      </c>
      <c r="E29" s="29" t="inlineStr">
        <is>
          <t>Duyệt phiếu không ở Chờ Admin duyệt</t>
        </is>
      </c>
      <c r="F29" s="29" t="inlineStr">
        <is>
          <t>Bị chặn</t>
        </is>
      </c>
      <c r="G29" s="7" t="n"/>
      <c r="H29" s="15" t="n"/>
      <c r="I29" s="14" t="n"/>
      <c r="J29" s="7" t="n"/>
      <c r="K29" s="14" t="n"/>
      <c r="L29" s="7" t="n"/>
      <c r="M29" s="7" t="n"/>
      <c r="N29" s="14" t="n"/>
      <c r="O29" s="7" t="n"/>
    </row>
    <row r="30">
      <c r="A30" s="28" t="inlineStr">
        <is>
          <t>OAD-019</t>
        </is>
      </c>
      <c r="B30" s="28" t="n">
        <v>6</v>
      </c>
      <c r="C30" s="29" t="inlineStr">
        <is>
          <t>Duyệt xuất kho</t>
        </is>
      </c>
      <c r="D30" s="28" t="inlineStr">
        <is>
          <t>Phát sinh</t>
        </is>
      </c>
      <c r="E30" s="29" t="inlineStr">
        <is>
          <t>Tài khoản không có quyền duyệt xuất (không phải Quản trị viên / Admin / PO Manager, không có quyền approve_exports, vd Sales Staff)</t>
        </is>
      </c>
      <c r="F30" s="29" t="inlineStr">
        <is>
          <t>Bị chặn</t>
        </is>
      </c>
      <c r="G30" s="7" t="n"/>
      <c r="H30" s="15" t="n"/>
      <c r="I30" s="14" t="n"/>
      <c r="J30" s="7" t="n"/>
      <c r="K30" s="14" t="n"/>
      <c r="L30" s="7" t="n"/>
      <c r="M30" s="7" t="n"/>
      <c r="N30" s="14" t="n"/>
      <c r="O30" s="7" t="n"/>
    </row>
    <row r="31">
      <c r="A31" s="12" t="inlineStr">
        <is>
          <t>OAD-020</t>
        </is>
      </c>
      <c r="B31" s="12" t="n">
        <v>6</v>
      </c>
      <c r="C31" s="10" t="inlineStr">
        <is>
          <t>Duyệt xuất kho</t>
        </is>
      </c>
      <c r="D31" s="12" t="inlineStr">
        <is>
          <t>Luồng chính</t>
        </is>
      </c>
      <c r="E31" s="10" t="inlineStr">
        <is>
          <t>Tài khoản Order Management duyệt đề xuất xuất kho</t>
        </is>
      </c>
      <c r="F31" s="10" t="inlineStr">
        <is>
          <t>Duyệt được (vai trò này có quyền approve_exports)</t>
        </is>
      </c>
      <c r="G31" s="7" t="n"/>
      <c r="H31" s="15" t="n"/>
      <c r="I31" s="14" t="n"/>
      <c r="J31" s="7" t="n"/>
      <c r="K31" s="14" t="n"/>
      <c r="L31" s="7" t="n"/>
      <c r="M31" s="7" t="n"/>
      <c r="N31" s="14" t="n"/>
      <c r="O31" s="7" t="n"/>
    </row>
  </sheetData>
  <autoFilter ref="A5:O31"/>
  <mergeCells count="9">
    <mergeCell ref="A2:O2"/>
    <mergeCell ref="A10:O10"/>
    <mergeCell ref="A1:O1"/>
    <mergeCell ref="A23:O23"/>
    <mergeCell ref="A8:O8"/>
    <mergeCell ref="A6:O6"/>
    <mergeCell ref="A18:O18"/>
    <mergeCell ref="A3:O3"/>
    <mergeCell ref="A21:O21"/>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O36"/>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ORDER MANAGEMENT – QUẢN LÝ ĐƠN HÀNG &amp; ĐIỀU PHỐI PO TEAM</t>
        </is>
      </c>
    </row>
    <row r="2" ht="16" customHeight="1">
      <c r="A2" s="21" t="inlineStr">
        <is>
          <t>Tài khoản test: Order Management; Sales Staff; PO Staff; Finance Team; Marketing. Cần chạy migration 2026_10_26_100000 trên server trước khi test sheet này</t>
        </is>
      </c>
    </row>
    <row r="3" ht="48" customHeight="1">
      <c r="A3" s="5" t="inlineStr">
        <is>
          <t>Order Management (chị Bích) kiểm soát đơn hàng từ lúc Sales xin đặt hàng đến lúc xuất hàng, đồng thời điều phối PO Team. Vai trò này duyệt yêu cầu đặt hàng như Admin, tiếp nhận yêu cầu để PO Team gom đơn đặt Hãng, duyệt PO, duyệt đề xuất xuất kho và duyệt ngân sách Marketing cấp 1. Order Management xem được toàn bộ báo giá và đơn hàng của công ty.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THEO DÕI TOÀN BỘ ĐƠN HÀNG</t>
        </is>
      </c>
    </row>
    <row r="7">
      <c r="A7" s="12" t="inlineStr">
        <is>
          <t>OM-001</t>
        </is>
      </c>
      <c r="B7" s="12" t="n">
        <v>1</v>
      </c>
      <c r="C7" s="10" t="inlineStr">
        <is>
          <t>Phạm vi xem</t>
        </is>
      </c>
      <c r="D7" s="12" t="inlineStr">
        <is>
          <t>Luồng chính</t>
        </is>
      </c>
      <c r="E7" s="10" t="inlineStr">
        <is>
          <t>Đăng nhập Order Management, mở Đơn hàng bán và Báo giá</t>
        </is>
      </c>
      <c r="F7" s="10" t="inlineStr">
        <is>
          <t>Thấy toàn bộ đơn / báo giá của công ty</t>
        </is>
      </c>
      <c r="G7" s="7" t="n"/>
      <c r="H7" s="15" t="n"/>
      <c r="I7" s="14" t="n"/>
      <c r="J7" s="7" t="n"/>
      <c r="K7" s="14" t="n"/>
      <c r="L7" s="7" t="n"/>
      <c r="M7" s="7" t="n"/>
      <c r="N7" s="14" t="n"/>
      <c r="O7" s="7" t="n"/>
    </row>
    <row r="8">
      <c r="A8" s="12" t="inlineStr">
        <is>
          <t>OM-002</t>
        </is>
      </c>
      <c r="B8" s="12" t="n">
        <v>1</v>
      </c>
      <c r="C8" s="10" t="inlineStr">
        <is>
          <t>Phạm vi xem</t>
        </is>
      </c>
      <c r="D8" s="12" t="inlineStr">
        <is>
          <t>Luồng chính</t>
        </is>
      </c>
      <c r="E8" s="10" t="inlineStr">
        <is>
          <t>Kiểm menu Mua hàng</t>
        </is>
      </c>
      <c r="F8" s="10" t="inlineStr">
        <is>
          <t>Có Bảng giá, Duyệt yêu cầu (PR), Gom đơn cần đặt, Đơn hàng (Không PNL), Đặt hàng với hãng (PO), Báo cáo mua hàng; badge đếm đúng</t>
        </is>
      </c>
      <c r="G8" s="7" t="n"/>
      <c r="H8" s="15" t="n"/>
      <c r="I8" s="14" t="n"/>
      <c r="J8" s="7" t="n"/>
      <c r="K8" s="14" t="n"/>
      <c r="L8" s="7" t="n"/>
      <c r="M8" s="7" t="n"/>
      <c r="N8" s="14" t="n"/>
      <c r="O8" s="7" t="n"/>
    </row>
    <row r="9">
      <c r="A9" s="27" t="inlineStr">
        <is>
          <t>BƯỚC 2: DUYỆT YÊU CẦU ĐẶT HÀNG</t>
        </is>
      </c>
    </row>
    <row r="10">
      <c r="A10" s="12" t="inlineStr">
        <is>
          <t>OM-003</t>
        </is>
      </c>
      <c r="B10" s="12" t="n">
        <v>2</v>
      </c>
      <c r="C10" s="10" t="inlineStr">
        <is>
          <t>Duyệt đặt hàng</t>
        </is>
      </c>
      <c r="D10" s="12" t="inlineStr">
        <is>
          <t>Luồng chính</t>
        </is>
      </c>
      <c r="E10" s="10" t="inlineStr">
        <is>
          <t>Sales gửi yêu cầu đặt hàng</t>
        </is>
      </c>
      <c r="F10" s="10" t="inlineStr">
        <is>
          <t>Order Management nhận thông báo (cùng Admin, PO Manager)</t>
        </is>
      </c>
      <c r="G10" s="7" t="n"/>
      <c r="H10" s="15" t="n"/>
      <c r="I10" s="14" t="n"/>
      <c r="J10" s="7" t="n"/>
      <c r="K10" s="14" t="n"/>
      <c r="L10" s="7" t="n"/>
      <c r="M10" s="7" t="n"/>
      <c r="N10" s="14" t="n"/>
      <c r="O10" s="7" t="n"/>
    </row>
    <row r="11">
      <c r="A11" s="12" t="inlineStr">
        <is>
          <t>OM-004</t>
        </is>
      </c>
      <c r="B11" s="12" t="n">
        <v>2</v>
      </c>
      <c r="C11" s="10" t="inlineStr">
        <is>
          <t>Duyệt đặt hàng</t>
        </is>
      </c>
      <c r="D11" s="12" t="inlineStr">
        <is>
          <t>Luồng chính</t>
        </is>
      </c>
      <c r="E11" s="10" t="inlineStr">
        <is>
          <t>Duyệt yêu cầu "Chờ Admin duyệt" từ màn Duyệt yêu cầu (PR)</t>
        </is>
      </c>
      <c r="F11" s="10" t="inlineStr">
        <is>
          <t>"Đã gửi", Sales nhận "đã được Admin duyệt"</t>
        </is>
      </c>
      <c r="G11" s="7" t="n"/>
      <c r="H11" s="15" t="n"/>
      <c r="I11" s="14" t="n"/>
      <c r="J11" s="7" t="n"/>
      <c r="K11" s="14" t="n"/>
      <c r="L11" s="7" t="n"/>
      <c r="M11" s="7" t="n"/>
      <c r="N11" s="14" t="n"/>
      <c r="O11" s="7" t="n"/>
    </row>
    <row r="12">
      <c r="A12" s="12" t="inlineStr">
        <is>
          <t>OM-005</t>
        </is>
      </c>
      <c r="B12" s="12" t="n">
        <v>2</v>
      </c>
      <c r="C12" s="10" t="inlineStr">
        <is>
          <t>Duyệt đặt hàng</t>
        </is>
      </c>
      <c r="D12" s="12" t="inlineStr">
        <is>
          <t>Luồng chính</t>
        </is>
      </c>
      <c r="E12" s="10" t="inlineStr">
        <is>
          <t>Duyệt yêu cầu "Chờ Admin duyệt" từ màn chi tiết SO</t>
        </is>
      </c>
      <c r="F12" s="10" t="inlineStr">
        <is>
          <t>Có nút duyệt, kết quả như trên</t>
        </is>
      </c>
      <c r="G12" s="7" t="n"/>
      <c r="H12" s="15" t="n"/>
      <c r="I12" s="14" t="n"/>
      <c r="J12" s="7" t="n"/>
      <c r="K12" s="14" t="n"/>
      <c r="L12" s="7" t="n"/>
      <c r="M12" s="7" t="n"/>
      <c r="N12" s="14" t="n"/>
      <c r="O12" s="7" t="n"/>
    </row>
    <row r="13">
      <c r="A13" s="28" t="inlineStr">
        <is>
          <t>OM-006</t>
        </is>
      </c>
      <c r="B13" s="28" t="n">
        <v>2</v>
      </c>
      <c r="C13" s="29" t="inlineStr">
        <is>
          <t>Duyệt đặt hàng</t>
        </is>
      </c>
      <c r="D13" s="28" t="inlineStr">
        <is>
          <t>Phát sinh</t>
        </is>
      </c>
      <c r="E13" s="29" t="inlineStr">
        <is>
          <t>Trả về Thiếu thông tin / trả về sửa P&amp;L kèm lý do</t>
        </is>
      </c>
      <c r="F13" s="29" t="inlineStr">
        <is>
          <t>Sales nhận lý do; trả về P&amp;L thì P&amp;L mở lại</t>
        </is>
      </c>
      <c r="G13" s="7" t="n"/>
      <c r="H13" s="15" t="n"/>
      <c r="I13" s="14" t="n"/>
      <c r="J13" s="7" t="n"/>
      <c r="K13" s="14" t="n"/>
      <c r="L13" s="7" t="n"/>
      <c r="M13" s="7" t="n"/>
      <c r="N13" s="14" t="n"/>
      <c r="O13" s="7" t="n"/>
    </row>
    <row r="14">
      <c r="A14" s="28" t="inlineStr">
        <is>
          <t>OM-007</t>
        </is>
      </c>
      <c r="B14" s="28" t="n">
        <v>2</v>
      </c>
      <c r="C14" s="29" t="inlineStr">
        <is>
          <t>Duyệt đặt hàng</t>
        </is>
      </c>
      <c r="D14" s="28" t="inlineStr">
        <is>
          <t>Phát sinh</t>
        </is>
      </c>
      <c r="E14" s="29" t="inlineStr">
        <is>
          <t>Sửa yêu cầu đặt hàng đã gửi (không ở nháp / thiếu thông tin)</t>
        </is>
      </c>
      <c r="F14" s="29" t="inlineStr">
        <is>
          <t>Sửa được (quyền quản lý), có lịch sử</t>
        </is>
      </c>
      <c r="G14" s="7" t="n"/>
      <c r="H14" s="15" t="n"/>
      <c r="I14" s="14" t="n"/>
      <c r="J14" s="7" t="n"/>
      <c r="K14" s="14" t="n"/>
      <c r="L14" s="7" t="n"/>
      <c r="M14" s="7" t="n"/>
      <c r="N14" s="14" t="n"/>
      <c r="O14" s="7" t="n"/>
    </row>
    <row r="15">
      <c r="A15" s="27" t="inlineStr">
        <is>
          <t>BƯỚC 3: TIẾP NHẬN YÊU CẦU CHO PO TEAM</t>
        </is>
      </c>
    </row>
    <row r="16">
      <c r="A16" s="12" t="inlineStr">
        <is>
          <t>OM-008</t>
        </is>
      </c>
      <c r="B16" s="12" t="n">
        <v>3</v>
      </c>
      <c r="C16" s="10" t="inlineStr">
        <is>
          <t>Tiếp nhận PR</t>
        </is>
      </c>
      <c r="D16" s="12" t="inlineStr">
        <is>
          <t>Luồng chính</t>
        </is>
      </c>
      <c r="E16" s="10" t="inlineStr">
        <is>
          <t>Tiếp nhận yêu cầu "Đã gửi"</t>
        </is>
      </c>
      <c r="F16" s="10" t="inlineStr">
        <is>
          <t>"Đang xử lý", dòng xuất hiện ở Gom đơn cần đặt</t>
        </is>
      </c>
      <c r="G16" s="7" t="n"/>
      <c r="H16" s="15" t="n"/>
      <c r="I16" s="14" t="n"/>
      <c r="J16" s="7" t="n"/>
      <c r="K16" s="14" t="n"/>
      <c r="L16" s="7" t="n"/>
      <c r="M16" s="7" t="n"/>
      <c r="N16" s="14" t="n"/>
      <c r="O16" s="7" t="n"/>
    </row>
    <row r="17">
      <c r="A17" s="28" t="inlineStr">
        <is>
          <t>OM-009</t>
        </is>
      </c>
      <c r="B17" s="28" t="n">
        <v>3</v>
      </c>
      <c r="C17" s="29" t="inlineStr">
        <is>
          <t>Tiếp nhận PR</t>
        </is>
      </c>
      <c r="D17" s="28" t="inlineStr">
        <is>
          <t>Phát sinh</t>
        </is>
      </c>
      <c r="E17" s="29" t="inlineStr">
        <is>
          <t>Trả về khi tiếp nhận kèm lý do</t>
        </is>
      </c>
      <c r="F17" s="29" t="inlineStr">
        <is>
          <t>Sales nhận lý do, yêu cầu về "Thiếu thông tin"</t>
        </is>
      </c>
      <c r="G17" s="7" t="n"/>
      <c r="H17" s="15" t="n"/>
      <c r="I17" s="14" t="n"/>
      <c r="J17" s="7" t="n"/>
      <c r="K17" s="14" t="n"/>
      <c r="L17" s="7" t="n"/>
      <c r="M17" s="7" t="n"/>
      <c r="N17" s="14" t="n"/>
      <c r="O17" s="7" t="n"/>
    </row>
    <row r="18">
      <c r="A18" s="12" t="inlineStr">
        <is>
          <t>OM-010</t>
        </is>
      </c>
      <c r="B18" s="12" t="n">
        <v>3</v>
      </c>
      <c r="C18" s="10" t="inlineStr">
        <is>
          <t>Tiếp nhận PR</t>
        </is>
      </c>
      <c r="D18" s="12" t="inlineStr">
        <is>
          <t>Luồng chính</t>
        </is>
      </c>
      <c r="E18" s="10" t="inlineStr">
        <is>
          <t>Sửa thông tin End User tại Duyệt yêu cầu (PR)</t>
        </is>
      </c>
      <c r="F18" s="10" t="inlineStr">
        <is>
          <t>Lưu được, đồng bộ về SO</t>
        </is>
      </c>
      <c r="G18" s="7" t="n"/>
      <c r="H18" s="15" t="n"/>
      <c r="I18" s="14" t="n"/>
      <c r="J18" s="7" t="n"/>
      <c r="K18" s="14" t="n"/>
      <c r="L18" s="7" t="n"/>
      <c r="M18" s="7" t="n"/>
      <c r="N18" s="14" t="n"/>
      <c r="O18" s="7" t="n"/>
    </row>
    <row r="19">
      <c r="A19" s="27" t="inlineStr">
        <is>
          <t>BƯỚC 4: GOM ĐƠN &amp; ĐIỀU PHỐI PO TEAM</t>
        </is>
      </c>
    </row>
    <row r="20">
      <c r="A20" s="12" t="inlineStr">
        <is>
          <t>OM-011</t>
        </is>
      </c>
      <c r="B20" s="12" t="n">
        <v>4</v>
      </c>
      <c r="C20" s="10" t="inlineStr">
        <is>
          <t>Gom đơn</t>
        </is>
      </c>
      <c r="D20" s="12" t="inlineStr">
        <is>
          <t>Luồng chính</t>
        </is>
      </c>
      <c r="E20" s="10" t="inlineStr">
        <is>
          <t>Mở Gom đơn cần đặt, tạo PO nháp từ các dòng chờ</t>
        </is>
      </c>
      <c r="F20" s="10" t="inlineStr">
        <is>
          <t>Tạo được</t>
        </is>
      </c>
      <c r="G20" s="7" t="n"/>
      <c r="H20" s="15" t="n"/>
      <c r="I20" s="14" t="n"/>
      <c r="J20" s="7" t="n"/>
      <c r="K20" s="14" t="n"/>
      <c r="L20" s="7" t="n"/>
      <c r="M20" s="7" t="n"/>
      <c r="N20" s="14" t="n"/>
      <c r="O20" s="7" t="n"/>
    </row>
    <row r="21">
      <c r="A21" s="12" t="inlineStr">
        <is>
          <t>OM-012</t>
        </is>
      </c>
      <c r="B21" s="12" t="n">
        <v>4</v>
      </c>
      <c r="C21" s="10" t="inlineStr">
        <is>
          <t>Gom đơn</t>
        </is>
      </c>
      <c r="D21" s="12" t="inlineStr">
        <is>
          <t>Luồng chính</t>
        </is>
      </c>
      <c r="E21" s="10" t="inlineStr">
        <is>
          <t>Tạo đơn nhanh ở Đơn hàng (Không PNL)</t>
        </is>
      </c>
      <c r="F21" s="10" t="inlineStr">
        <is>
          <t>Tạo được, dòng vào danh sách cần đặt</t>
        </is>
      </c>
      <c r="G21" s="7" t="n"/>
      <c r="H21" s="15" t="n"/>
      <c r="I21" s="14" t="n"/>
      <c r="J21" s="7" t="n"/>
      <c r="K21" s="14" t="n"/>
      <c r="L21" s="7" t="n"/>
      <c r="M21" s="7" t="n"/>
      <c r="N21" s="14" t="n"/>
      <c r="O21" s="7" t="n"/>
    </row>
    <row r="22">
      <c r="A22" s="27" t="inlineStr">
        <is>
          <t>BƯỚC 5: DUYỆT PO</t>
        </is>
      </c>
    </row>
    <row r="23">
      <c r="A23" s="12" t="inlineStr">
        <is>
          <t>OM-013</t>
        </is>
      </c>
      <c r="B23" s="12" t="n">
        <v>5</v>
      </c>
      <c r="C23" s="10" t="inlineStr">
        <is>
          <t>Duyệt PO</t>
        </is>
      </c>
      <c r="D23" s="12" t="inlineStr">
        <is>
          <t>Luồng chính</t>
        </is>
      </c>
      <c r="E23" s="10" t="inlineStr">
        <is>
          <t>PO Staff gửi duyệt PO → Order Management duyệt</t>
        </is>
      </c>
      <c r="F23" s="10" t="inlineStr">
        <is>
          <t>PO "Đã đặt", Sales nhận thông báo</t>
        </is>
      </c>
      <c r="G23" s="7" t="n"/>
      <c r="H23" s="15" t="n"/>
      <c r="I23" s="14" t="n"/>
      <c r="J23" s="7" t="n"/>
      <c r="K23" s="14" t="n"/>
      <c r="L23" s="7" t="n"/>
      <c r="M23" s="7" t="n"/>
      <c r="N23" s="14" t="n"/>
      <c r="O23" s="7" t="n"/>
    </row>
    <row r="24">
      <c r="A24" s="28" t="inlineStr">
        <is>
          <t>OM-014</t>
        </is>
      </c>
      <c r="B24" s="28" t="n">
        <v>5</v>
      </c>
      <c r="C24" s="29" t="inlineStr">
        <is>
          <t>Duyệt PO</t>
        </is>
      </c>
      <c r="D24" s="28" t="inlineStr">
        <is>
          <t>Phát sinh</t>
        </is>
      </c>
      <c r="E24" s="29" t="inlineStr">
        <is>
          <t>Từ chối PO kèm lý do</t>
        </is>
      </c>
      <c r="F24" s="29" t="inlineStr">
        <is>
          <t>Người tạo nhận "PO … đã bị từ chối"</t>
        </is>
      </c>
      <c r="G24" s="7" t="n"/>
      <c r="H24" s="15" t="n"/>
      <c r="I24" s="14" t="n"/>
      <c r="J24" s="7" t="n"/>
      <c r="K24" s="14" t="n"/>
      <c r="L24" s="7" t="n"/>
      <c r="M24" s="7" t="n"/>
      <c r="N24" s="14" t="n"/>
      <c r="O24" s="7" t="n"/>
    </row>
    <row r="25">
      <c r="A25" s="12" t="inlineStr">
        <is>
          <t>OM-015</t>
        </is>
      </c>
      <c r="B25" s="12" t="n">
        <v>5</v>
      </c>
      <c r="C25" s="10" t="inlineStr">
        <is>
          <t>Duyệt PO</t>
        </is>
      </c>
      <c r="D25" s="12" t="inlineStr">
        <is>
          <t>Luồng chính</t>
        </is>
      </c>
      <c r="E25" s="10" t="inlineStr">
        <is>
          <t>Hold / gỡ Hold PO</t>
        </is>
      </c>
      <c r="F25" s="10" t="inlineStr">
        <is>
          <t>Sales nhận thông báo kèm lý do</t>
        </is>
      </c>
      <c r="G25" s="7" t="n"/>
      <c r="H25" s="15" t="n"/>
      <c r="I25" s="14" t="n"/>
      <c r="J25" s="7" t="n"/>
      <c r="K25" s="14" t="n"/>
      <c r="L25" s="7" t="n"/>
      <c r="M25" s="7" t="n"/>
      <c r="N25" s="14" t="n"/>
      <c r="O25" s="7" t="n"/>
    </row>
    <row r="26">
      <c r="A26" s="27" t="inlineStr">
        <is>
          <t>BƯỚC 6: DUYỆT ĐỀ XUẤT XUẤT KHO</t>
        </is>
      </c>
    </row>
    <row r="27">
      <c r="A27" s="12" t="inlineStr">
        <is>
          <t>OM-016</t>
        </is>
      </c>
      <c r="B27" s="12" t="n">
        <v>6</v>
      </c>
      <c r="C27" s="10" t="inlineStr">
        <is>
          <t>Duyệt xuất kho</t>
        </is>
      </c>
      <c r="D27" s="12" t="inlineStr">
        <is>
          <t>Luồng chính</t>
        </is>
      </c>
      <c r="E27" s="10" t="inlineStr">
        <is>
          <t>Duyệt đề xuất xuất kho từ Kho hàng › Xuất kho</t>
        </is>
      </c>
      <c r="F27" s="10" t="inlineStr">
        <is>
          <t>Kết quả như sheet Admin duyệt đơn</t>
        </is>
      </c>
      <c r="G27" s="7" t="n"/>
      <c r="H27" s="15" t="n"/>
      <c r="I27" s="14" t="n"/>
      <c r="J27" s="7" t="n"/>
      <c r="K27" s="14" t="n"/>
      <c r="L27" s="7" t="n"/>
      <c r="M27" s="7" t="n"/>
      <c r="N27" s="14" t="n"/>
      <c r="O27" s="7" t="n"/>
    </row>
    <row r="28">
      <c r="A28" s="12" t="inlineStr">
        <is>
          <t>OM-017</t>
        </is>
      </c>
      <c r="B28" s="12" t="n">
        <v>6</v>
      </c>
      <c r="C28" s="10" t="inlineStr">
        <is>
          <t>Duyệt xuất kho</t>
        </is>
      </c>
      <c r="D28" s="12" t="inlineStr">
        <is>
          <t>Luồng chính</t>
        </is>
      </c>
      <c r="E28" s="10" t="inlineStr">
        <is>
          <t>Mở SO có phiếu xuất "Chờ Admin duyệt"</t>
        </is>
      </c>
      <c r="F28" s="10" t="inlineStr">
        <is>
          <t>Có nút duyệt / từ chối ngay trên SO</t>
        </is>
      </c>
      <c r="G28" s="7" t="n"/>
      <c r="H28" s="15" t="n"/>
      <c r="I28" s="14" t="n"/>
      <c r="J28" s="7" t="n"/>
      <c r="K28" s="14" t="n"/>
      <c r="L28" s="7" t="n"/>
      <c r="M28" s="7" t="n"/>
      <c r="N28" s="14" t="n"/>
      <c r="O28" s="7" t="n"/>
    </row>
    <row r="29">
      <c r="A29" s="28" t="inlineStr">
        <is>
          <t>OM-018</t>
        </is>
      </c>
      <c r="B29" s="28" t="n">
        <v>6</v>
      </c>
      <c r="C29" s="29" t="inlineStr">
        <is>
          <t>Duyệt xuất kho</t>
        </is>
      </c>
      <c r="D29" s="28" t="inlineStr">
        <is>
          <t>Phát sinh</t>
        </is>
      </c>
      <c r="E29" s="29" t="inlineStr">
        <is>
          <t>Đợt "trước xuất hàng" chưa được Kế toán xác nhận, bấm duyệt</t>
        </is>
      </c>
      <c r="F29" s="29" t="inlineStr">
        <is>
          <t>Bị chặn, liệt kê đợt còn thiếu</t>
        </is>
      </c>
      <c r="G29" s="7" t="n"/>
      <c r="H29" s="15" t="n"/>
      <c r="I29" s="14" t="n"/>
      <c r="J29" s="7" t="n"/>
      <c r="K29" s="14" t="n"/>
      <c r="L29" s="7" t="n"/>
      <c r="M29" s="7" t="n"/>
      <c r="N29" s="14" t="n"/>
      <c r="O29" s="7" t="n"/>
    </row>
    <row r="30">
      <c r="A30" s="27" t="inlineStr">
        <is>
          <t>BƯỚC 7: DUYỆT NGÂN SÁCH MARKETING CẤP 1</t>
        </is>
      </c>
    </row>
    <row r="31">
      <c r="A31" s="12" t="inlineStr">
        <is>
          <t>OM-019</t>
        </is>
      </c>
      <c r="B31" s="12" t="n">
        <v>7</v>
      </c>
      <c r="C31" s="10" t="inlineStr">
        <is>
          <t>Ngân sách MKT</t>
        </is>
      </c>
      <c r="D31" s="12" t="inlineStr">
        <is>
          <t>Luồng chính</t>
        </is>
      </c>
      <c r="E31" s="10" t="inlineStr">
        <is>
          <t>Marketing gửi duyệt sự kiện → Order Management duyệt cấp 1</t>
        </is>
      </c>
      <c r="F31" s="10" t="inlineStr">
        <is>
          <t>Chuyển BOD duyệt cấp 2, BOD nhận thông báo</t>
        </is>
      </c>
      <c r="G31" s="7" t="n"/>
      <c r="H31" s="15" t="n"/>
      <c r="I31" s="14" t="n"/>
      <c r="J31" s="7" t="n"/>
      <c r="K31" s="14" t="n"/>
      <c r="L31" s="7" t="n"/>
      <c r="M31" s="7" t="n"/>
      <c r="N31" s="14" t="n"/>
      <c r="O31" s="7" t="n"/>
    </row>
    <row r="32">
      <c r="A32" s="28" t="inlineStr">
        <is>
          <t>OM-020</t>
        </is>
      </c>
      <c r="B32" s="28" t="n">
        <v>7</v>
      </c>
      <c r="C32" s="29" t="inlineStr">
        <is>
          <t>Ngân sách MKT</t>
        </is>
      </c>
      <c r="D32" s="28" t="inlineStr">
        <is>
          <t>Phát sinh</t>
        </is>
      </c>
      <c r="E32" s="29" t="inlineStr">
        <is>
          <t>Từ chối kèm lý do</t>
        </is>
      </c>
      <c r="F32" s="29" t="inlineStr">
        <is>
          <t>Marketing nhận lý do, sửa và gửi lại được</t>
        </is>
      </c>
      <c r="G32" s="7" t="n"/>
      <c r="H32" s="15" t="n"/>
      <c r="I32" s="14" t="n"/>
      <c r="J32" s="7" t="n"/>
      <c r="K32" s="14" t="n"/>
      <c r="L32" s="7" t="n"/>
      <c r="M32" s="7" t="n"/>
      <c r="N32" s="14" t="n"/>
      <c r="O32" s="7" t="n"/>
    </row>
    <row r="33">
      <c r="A33" s="27" t="inlineStr">
        <is>
          <t>BƯỚC 8: BẢNG GIÁ NCC &amp; BÁO CÁO</t>
        </is>
      </c>
    </row>
    <row r="34">
      <c r="A34" s="12" t="inlineStr">
        <is>
          <t>OM-021</t>
        </is>
      </c>
      <c r="B34" s="12" t="n">
        <v>8</v>
      </c>
      <c r="C34" s="10" t="inlineStr">
        <is>
          <t>Bảng giá &amp; báo cáo</t>
        </is>
      </c>
      <c r="D34" s="12" t="inlineStr">
        <is>
          <t>Luồng chính</t>
        </is>
      </c>
      <c r="E34" s="10" t="inlineStr">
        <is>
          <t>Mở Báo cáo mua hàng, xuất Excel</t>
        </is>
      </c>
      <c r="F34" s="10" t="inlineStr">
        <is>
          <t>Số liệu khớp PO, file mở được</t>
        </is>
      </c>
      <c r="G34" s="7" t="n"/>
      <c r="H34" s="15" t="n"/>
      <c r="I34" s="14" t="n"/>
      <c r="J34" s="7" t="n"/>
      <c r="K34" s="14" t="n"/>
      <c r="L34" s="7" t="n"/>
      <c r="M34" s="7" t="n"/>
      <c r="N34" s="14" t="n"/>
      <c r="O34" s="7" t="n"/>
    </row>
    <row r="35">
      <c r="A35" s="12" t="inlineStr">
        <is>
          <t>OM-022</t>
        </is>
      </c>
      <c r="B35" s="12" t="n">
        <v>8</v>
      </c>
      <c r="C35" s="10" t="inlineStr">
        <is>
          <t>Bảng giá &amp; báo cáo</t>
        </is>
      </c>
      <c r="D35" s="12" t="inlineStr">
        <is>
          <t>Luồng chính</t>
        </is>
      </c>
      <c r="E35" s="10" t="inlineStr">
        <is>
          <t>Sửa nhà cung cấp, bảng giá NCC</t>
        </is>
      </c>
      <c r="F35" s="10" t="inlineStr">
        <is>
          <t>Lưu được</t>
        </is>
      </c>
      <c r="G35" s="7" t="n"/>
      <c r="H35" s="15" t="n"/>
      <c r="I35" s="14" t="n"/>
      <c r="J35" s="7" t="n"/>
      <c r="K35" s="14" t="n"/>
      <c r="L35" s="7" t="n"/>
      <c r="M35" s="7" t="n"/>
      <c r="N35" s="14" t="n"/>
      <c r="O35" s="7" t="n"/>
    </row>
    <row r="36">
      <c r="A36" s="28" t="inlineStr">
        <is>
          <t>OM-023</t>
        </is>
      </c>
      <c r="B36" s="28" t="n">
        <v>8</v>
      </c>
      <c r="C36" s="29" t="inlineStr">
        <is>
          <t>Phân quyền</t>
        </is>
      </c>
      <c r="D36" s="28" t="inlineStr">
        <is>
          <t>Phát sinh</t>
        </is>
      </c>
      <c r="E36" s="29" t="inlineStr">
        <is>
          <t>Mở trang Vai trò, Quyền, Cài đặt</t>
        </is>
      </c>
      <c r="F36" s="29" t="inlineStr">
        <is>
          <t>Không có quyền / bị chặn</t>
        </is>
      </c>
      <c r="G36" s="7" t="n"/>
      <c r="H36" s="15" t="n"/>
      <c r="I36" s="14" t="n"/>
      <c r="J36" s="7" t="n"/>
      <c r="K36" s="14" t="n"/>
      <c r="L36" s="7" t="n"/>
      <c r="M36" s="7" t="n"/>
      <c r="N36" s="14" t="n"/>
      <c r="O36" s="7" t="n"/>
    </row>
  </sheetData>
  <autoFilter ref="A5:O36"/>
  <mergeCells count="11">
    <mergeCell ref="A15:O15"/>
    <mergeCell ref="A26:O26"/>
    <mergeCell ref="A2:O2"/>
    <mergeCell ref="A19:O19"/>
    <mergeCell ref="A33:O33"/>
    <mergeCell ref="A1:O1"/>
    <mergeCell ref="A6:O6"/>
    <mergeCell ref="A22:O22"/>
    <mergeCell ref="A9:O9"/>
    <mergeCell ref="A3:O3"/>
    <mergeCell ref="A30:O30"/>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O55"/>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PHÒNG MUA HÀNG (PO TEAM)</t>
        </is>
      </c>
    </row>
    <row r="2" ht="16" customHeight="1">
      <c r="A2" s="21" t="inlineStr">
        <is>
          <t>Tài khoản test: PO Staff (thao tác), PO Manager (duyệt PO), Admin (xóa PO, duyệt yêu cầu đặt hàng)</t>
        </is>
      </c>
    </row>
    <row r="3" ht="48" customHeight="1">
      <c r="A3" s="5" t="inlineStr">
        <is>
          <t>Mua hàng biến yêu cầu đặt hàng của Sales thành đơn đặt Hãng / NCC (PO), theo dõi hàng trên đường về và xác nhận hàng đã nhận. Một PO có thể gom hàng của nhiều SO cùng Hãng. Khi PO nhận hàng, hệ thống tự tạo phiếu nhập kho cho Kho.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NHÀ CUNG CẤP &amp; BẢNG GIÁ NCC</t>
        </is>
      </c>
    </row>
    <row r="7">
      <c r="A7" s="12" t="inlineStr">
        <is>
          <t>PUR-001</t>
        </is>
      </c>
      <c r="B7" s="12" t="n">
        <v>1</v>
      </c>
      <c r="C7" s="10" t="inlineStr">
        <is>
          <t>Nhà cung cấp</t>
        </is>
      </c>
      <c r="D7" s="12" t="inlineStr">
        <is>
          <t>Luồng chính</t>
        </is>
      </c>
      <c r="E7" s="10" t="inlineStr">
        <is>
          <t>Tạo NCC đủ thông tin; cấu hình mẫu PO riêng</t>
        </is>
      </c>
      <c r="F7" s="10" t="inlineStr">
        <is>
          <t>Lưu thành công, mẫu PO áp dụng khi in PO của NCC này</t>
        </is>
      </c>
      <c r="G7" s="7" t="n"/>
      <c r="H7" s="15" t="n"/>
      <c r="I7" s="14" t="n"/>
      <c r="J7" s="7" t="n"/>
      <c r="K7" s="14" t="n"/>
      <c r="L7" s="7" t="n"/>
      <c r="M7" s="7" t="n"/>
      <c r="N7" s="14" t="n"/>
      <c r="O7" s="7" t="n"/>
    </row>
    <row r="8">
      <c r="A8" s="12" t="inlineStr">
        <is>
          <t>PUR-002</t>
        </is>
      </c>
      <c r="B8" s="12" t="n">
        <v>1</v>
      </c>
      <c r="C8" s="10" t="inlineStr">
        <is>
          <t>Bảng giá NCC</t>
        </is>
      </c>
      <c r="D8" s="12" t="inlineStr">
        <is>
          <t>Luồng chính</t>
        </is>
      </c>
      <c r="E8" s="10" t="inlineStr">
        <is>
          <t>Import bảng giá Excel (Fortinet / Zyxel / QNAP / SonicWall / Perle)</t>
        </is>
      </c>
      <c r="F8" s="10" t="inlineStr">
        <is>
          <t>Tự nhận sheet, cột SKU, cột giá</t>
        </is>
      </c>
      <c r="G8" s="7" t="n"/>
      <c r="H8" s="15" t="n"/>
      <c r="I8" s="14" t="n"/>
      <c r="J8" s="7" t="n"/>
      <c r="K8" s="14" t="n"/>
      <c r="L8" s="7" t="n"/>
      <c r="M8" s="7" t="n"/>
      <c r="N8" s="14" t="n"/>
      <c r="O8" s="7" t="n"/>
    </row>
    <row r="9">
      <c r="A9" s="12" t="inlineStr">
        <is>
          <t>PUR-003</t>
        </is>
      </c>
      <c r="B9" s="12" t="n">
        <v>1</v>
      </c>
      <c r="C9" s="10" t="inlineStr">
        <is>
          <t>Bảng giá NCC</t>
        </is>
      </c>
      <c r="D9" s="12" t="inlineStr">
        <is>
          <t>Luồng chính</t>
        </is>
      </c>
      <c r="E9" s="10" t="inlineStr">
        <is>
          <t>Xem trước và áp giá vào sản phẩm; cấu hình chiết khấu</t>
        </is>
      </c>
      <c r="F9" s="10" t="inlineStr">
        <is>
          <t>Báo số sản phẩm tạo mới / cập nhật</t>
        </is>
      </c>
      <c r="G9" s="7" t="n"/>
      <c r="H9" s="15" t="n"/>
      <c r="I9" s="14" t="n"/>
      <c r="J9" s="7" t="n"/>
      <c r="K9" s="14" t="n"/>
      <c r="L9" s="7" t="n"/>
      <c r="M9" s="7" t="n"/>
      <c r="N9" s="14" t="n"/>
      <c r="O9" s="7" t="n"/>
    </row>
    <row r="10">
      <c r="A10" s="28" t="inlineStr">
        <is>
          <t>PUR-004</t>
        </is>
      </c>
      <c r="B10" s="28" t="n">
        <v>1</v>
      </c>
      <c r="C10" s="29" t="inlineStr">
        <is>
          <t>Nhà cung cấp</t>
        </is>
      </c>
      <c r="D10" s="28" t="inlineStr">
        <is>
          <t>Phát sinh</t>
        </is>
      </c>
      <c r="E10" s="29" t="inlineStr">
        <is>
          <t>Mã NCC trùng; thiếu email / chức vụ người liên hệ</t>
        </is>
      </c>
      <c r="F10" s="29" t="inlineStr">
        <is>
          <t>Báo "Mã nhà cung cấp này đã tồn tại" / báo bắt buộc</t>
        </is>
      </c>
      <c r="G10" s="7" t="n"/>
      <c r="H10" s="15" t="n"/>
      <c r="I10" s="14" t="n"/>
      <c r="J10" s="7" t="n"/>
      <c r="K10" s="14" t="n"/>
      <c r="L10" s="7" t="n"/>
      <c r="M10" s="7" t="n"/>
      <c r="N10" s="14" t="n"/>
      <c r="O10" s="7" t="n"/>
    </row>
    <row r="11">
      <c r="A11" s="28" t="inlineStr">
        <is>
          <t>PUR-005</t>
        </is>
      </c>
      <c r="B11" s="28" t="n">
        <v>1</v>
      </c>
      <c r="C11" s="29" t="inlineStr">
        <is>
          <t>Nhà cung cấp</t>
        </is>
      </c>
      <c r="D11" s="28" t="inlineStr">
        <is>
          <t>Phát sinh</t>
        </is>
      </c>
      <c r="E11" s="29" t="inlineStr">
        <is>
          <t>Xóa NCC đã có báo giá / đơn đặt hàng / phiếu nhập</t>
        </is>
      </c>
      <c r="F11" s="29" t="inlineStr">
        <is>
          <t>Bị chặn, nêu rõ lý do</t>
        </is>
      </c>
      <c r="G11" s="7" t="n"/>
      <c r="H11" s="15" t="n"/>
      <c r="I11" s="14" t="n"/>
      <c r="J11" s="7" t="n"/>
      <c r="K11" s="14" t="n"/>
      <c r="L11" s="7" t="n"/>
      <c r="M11" s="7" t="n"/>
      <c r="N11" s="14" t="n"/>
      <c r="O11" s="7" t="n"/>
    </row>
    <row r="12">
      <c r="A12" s="28" t="inlineStr">
        <is>
          <t>PUR-006</t>
        </is>
      </c>
      <c r="B12" s="28" t="n">
        <v>1</v>
      </c>
      <c r="C12" s="29" t="inlineStr">
        <is>
          <t>Bảng giá NCC</t>
        </is>
      </c>
      <c r="D12" s="28" t="inlineStr">
        <is>
          <t>Phát sinh</t>
        </is>
      </c>
      <c r="E12" s="29" t="inlineStr">
        <is>
          <t>File bảng giá trống / chỉ có tiêu đề / không có cột SKU hoặc cột giá</t>
        </is>
      </c>
      <c r="F12" s="29" t="inlineStr">
        <is>
          <t>Báo lỗi rõ, không import nửa chừng</t>
        </is>
      </c>
      <c r="G12" s="7" t="n"/>
      <c r="H12" s="15" t="n"/>
      <c r="I12" s="14" t="n"/>
      <c r="J12" s="7" t="n"/>
      <c r="K12" s="14" t="n"/>
      <c r="L12" s="7" t="n"/>
      <c r="M12" s="7" t="n"/>
      <c r="N12" s="14" t="n"/>
      <c r="O12" s="7" t="n"/>
    </row>
    <row r="13">
      <c r="A13" s="28" t="inlineStr">
        <is>
          <t>PUR-007</t>
        </is>
      </c>
      <c r="B13" s="28" t="n">
        <v>1</v>
      </c>
      <c r="C13" s="29" t="inlineStr">
        <is>
          <t>Bảng giá NCC</t>
        </is>
      </c>
      <c r="D13" s="28" t="inlineStr">
        <is>
          <t>Phát sinh</t>
        </is>
      </c>
      <c r="E13" s="29" t="inlineStr">
        <is>
          <t>Chiết khấu &lt; 0 hoặc &gt; 100</t>
        </is>
      </c>
      <c r="F13" s="29" t="inlineStr">
        <is>
          <t>Bị chặn</t>
        </is>
      </c>
      <c r="G13" s="7" t="n"/>
      <c r="H13" s="15" t="n"/>
      <c r="I13" s="14" t="n"/>
      <c r="J13" s="7" t="n"/>
      <c r="K13" s="14" t="n"/>
      <c r="L13" s="7" t="n"/>
      <c r="M13" s="7" t="n"/>
      <c r="N13" s="14" t="n"/>
      <c r="O13" s="7" t="n"/>
    </row>
    <row r="14">
      <c r="A14" s="28" t="inlineStr">
        <is>
          <t>PUR-008</t>
        </is>
      </c>
      <c r="B14" s="28" t="n">
        <v>1</v>
      </c>
      <c r="C14" s="29" t="inlineStr">
        <is>
          <t>Bảng giá NCC</t>
        </is>
      </c>
      <c r="D14" s="28" t="inlineStr">
        <is>
          <t>Phát sinh</t>
        </is>
      </c>
      <c r="E14" s="29" t="inlineStr">
        <is>
          <t>Tắt bảng giá</t>
        </is>
      </c>
      <c r="F14" s="29" t="inlineStr">
        <is>
          <t>Không còn xuất hiện khi tra giá lúc báo giá</t>
        </is>
      </c>
      <c r="G14" s="7" t="n"/>
      <c r="H14" s="15" t="n"/>
      <c r="I14" s="14" t="n"/>
      <c r="J14" s="7" t="n"/>
      <c r="K14" s="14" t="n"/>
      <c r="L14" s="7" t="n"/>
      <c r="M14" s="7" t="n"/>
      <c r="N14" s="14" t="n"/>
      <c r="O14" s="7" t="n"/>
    </row>
    <row r="15">
      <c r="A15" s="27" t="inlineStr">
        <is>
          <t>BƯỚC 2: TIẾP NHẬN YÊU CẦU ĐẶT HÀNG</t>
        </is>
      </c>
    </row>
    <row r="16">
      <c r="A16" s="12" t="inlineStr">
        <is>
          <t>PUR-009</t>
        </is>
      </c>
      <c r="B16" s="12" t="n">
        <v>2</v>
      </c>
      <c r="C16" s="10" t="inlineStr">
        <is>
          <t>Tiếp nhận yêu cầu</t>
        </is>
      </c>
      <c r="D16" s="12" t="inlineStr">
        <is>
          <t>Luồng chính</t>
        </is>
      </c>
      <c r="E16" s="10" t="inlineStr">
        <is>
          <t>Duyệt yêu cầu đặt hàng đủ thông tin</t>
        </is>
      </c>
      <c r="F16" s="10" t="inlineStr">
        <is>
          <t>"Đang xử lý", dòng vào Gom đơn cần đặt</t>
        </is>
      </c>
      <c r="G16" s="7" t="n"/>
      <c r="H16" s="15" t="n"/>
      <c r="I16" s="14" t="n"/>
      <c r="J16" s="7" t="n"/>
      <c r="K16" s="14" t="n"/>
      <c r="L16" s="7" t="n"/>
      <c r="M16" s="7" t="n"/>
      <c r="N16" s="14" t="n"/>
      <c r="O16" s="7" t="n"/>
    </row>
    <row r="17">
      <c r="A17" s="28" t="inlineStr">
        <is>
          <t>PUR-010</t>
        </is>
      </c>
      <c r="B17" s="28" t="n">
        <v>2</v>
      </c>
      <c r="C17" s="29" t="inlineStr">
        <is>
          <t>Tiếp nhận yêu cầu</t>
        </is>
      </c>
      <c r="D17" s="28" t="inlineStr">
        <is>
          <t>Phát sinh</t>
        </is>
      </c>
      <c r="E17" s="29" t="inlineStr">
        <is>
          <t>Trả yêu cầu thiếu thông tin kèm lý do</t>
        </is>
      </c>
      <c r="F17" s="29" t="inlineStr">
        <is>
          <t>"Thiếu thông tin", Sales nhận lý do</t>
        </is>
      </c>
      <c r="G17" s="7" t="n"/>
      <c r="H17" s="15" t="n"/>
      <c r="I17" s="14" t="n"/>
      <c r="J17" s="7" t="n"/>
      <c r="K17" s="14" t="n"/>
      <c r="L17" s="7" t="n"/>
      <c r="M17" s="7" t="n"/>
      <c r="N17" s="14" t="n"/>
      <c r="O17" s="7" t="n"/>
    </row>
    <row r="18">
      <c r="A18" s="28" t="inlineStr">
        <is>
          <t>PUR-011</t>
        </is>
      </c>
      <c r="B18" s="28" t="n">
        <v>2</v>
      </c>
      <c r="C18" s="29" t="inlineStr">
        <is>
          <t>Tiếp nhận yêu cầu</t>
        </is>
      </c>
      <c r="D18" s="28" t="inlineStr">
        <is>
          <t>Phát sinh</t>
        </is>
      </c>
      <c r="E18" s="29" t="inlineStr">
        <is>
          <t>Trả đơn về Sales để chỉnh P&amp;L</t>
        </is>
      </c>
      <c r="F18" s="29" t="inlineStr">
        <is>
          <t>SO mở lại P&amp;L, ghi nhật ký</t>
        </is>
      </c>
      <c r="G18" s="7" t="n"/>
      <c r="H18" s="15" t="n"/>
      <c r="I18" s="14" t="n"/>
      <c r="J18" s="7" t="n"/>
      <c r="K18" s="14" t="n"/>
      <c r="L18" s="7" t="n"/>
      <c r="M18" s="7" t="n"/>
      <c r="N18" s="14" t="n"/>
      <c r="O18" s="7" t="n"/>
    </row>
    <row r="19">
      <c r="A19" s="28" t="inlineStr">
        <is>
          <t>PUR-012</t>
        </is>
      </c>
      <c r="B19" s="28" t="n">
        <v>2</v>
      </c>
      <c r="C19" s="29" t="inlineStr">
        <is>
          <t>Tiếp nhận yêu cầu</t>
        </is>
      </c>
      <c r="D19" s="28" t="inlineStr">
        <is>
          <t>Phát sinh</t>
        </is>
      </c>
      <c r="E19" s="29" t="inlineStr">
        <is>
          <t>Sales sửa thông tin EU tại bước đặt hàng</t>
        </is>
      </c>
      <c r="F19" s="29" t="inlineStr">
        <is>
          <t>Bị chặn, chỉ PO Team được sửa</t>
        </is>
      </c>
      <c r="G19" s="7" t="n"/>
      <c r="H19" s="15" t="n"/>
      <c r="I19" s="14" t="n"/>
      <c r="J19" s="7" t="n"/>
      <c r="K19" s="14" t="n"/>
      <c r="L19" s="7" t="n"/>
      <c r="M19" s="7" t="n"/>
      <c r="N19" s="14" t="n"/>
      <c r="O19" s="7" t="n"/>
    </row>
    <row r="20">
      <c r="A20" s="27" t="inlineStr">
        <is>
          <t>BƯỚC 3: GOM ĐƠN, TẠO PO NHÁP</t>
        </is>
      </c>
    </row>
    <row r="21">
      <c r="A21" s="12" t="inlineStr">
        <is>
          <t>PUR-013</t>
        </is>
      </c>
      <c r="B21" s="12" t="n">
        <v>3</v>
      </c>
      <c r="C21" s="10" t="inlineStr">
        <is>
          <t>Gom đơn</t>
        </is>
      </c>
      <c r="D21" s="12" t="inlineStr">
        <is>
          <t>Luồng chính</t>
        </is>
      </c>
      <c r="E21" s="10" t="inlineStr">
        <is>
          <t>Mở Gom đơn cần đặt</t>
        </is>
      </c>
      <c r="F21" s="10" t="inlineStr">
        <is>
          <t>Đúng các dòng từ yêu cầu đã duyệt, kèm SO, Sales, số lượng còn cần đặt</t>
        </is>
      </c>
      <c r="G21" s="7" t="n"/>
      <c r="H21" s="15" t="n"/>
      <c r="I21" s="14" t="n"/>
      <c r="J21" s="7" t="n"/>
      <c r="K21" s="14" t="n"/>
      <c r="L21" s="7" t="n"/>
      <c r="M21" s="7" t="n"/>
      <c r="N21" s="14" t="n"/>
      <c r="O21" s="7" t="n"/>
    </row>
    <row r="22">
      <c r="A22" s="12" t="inlineStr">
        <is>
          <t>PUR-014</t>
        </is>
      </c>
      <c r="B22" s="12" t="n">
        <v>3</v>
      </c>
      <c r="C22" s="10" t="inlineStr">
        <is>
          <t>Gom đơn</t>
        </is>
      </c>
      <c r="D22" s="12" t="inlineStr">
        <is>
          <t>Luồng chính</t>
        </is>
      </c>
      <c r="E22" s="10" t="inlineStr">
        <is>
          <t>Tạo PO nháp; gộp 2+ PO nháp cùng Hãng</t>
        </is>
      </c>
      <c r="F22" s="10" t="inlineStr">
        <is>
          <t>Các dòng về chung 1 PO</t>
        </is>
      </c>
      <c r="G22" s="7" t="n"/>
      <c r="H22" s="15" t="n"/>
      <c r="I22" s="14" t="n"/>
      <c r="J22" s="7" t="n"/>
      <c r="K22" s="14" t="n"/>
      <c r="L22" s="7" t="n"/>
      <c r="M22" s="7" t="n"/>
      <c r="N22" s="14" t="n"/>
      <c r="O22" s="7" t="n"/>
    </row>
    <row r="23">
      <c r="A23" s="12" t="inlineStr">
        <is>
          <t>PUR-015</t>
        </is>
      </c>
      <c r="B23" s="12" t="n">
        <v>3</v>
      </c>
      <c r="C23" s="10" t="inlineStr">
        <is>
          <t>Gom đơn</t>
        </is>
      </c>
      <c r="D23" s="12" t="inlineStr">
        <is>
          <t>Luồng chính</t>
        </is>
      </c>
      <c r="E23" s="10" t="inlineStr">
        <is>
          <t>Sinh mã PO tự động, sửa mã thủ công</t>
        </is>
      </c>
      <c r="F23" s="10" t="inlineStr">
        <is>
          <t>Kiểm tra trùng mã</t>
        </is>
      </c>
      <c r="G23" s="7" t="n"/>
      <c r="H23" s="15" t="n"/>
      <c r="I23" s="14" t="n"/>
      <c r="J23" s="7" t="n"/>
      <c r="K23" s="14" t="n"/>
      <c r="L23" s="7" t="n"/>
      <c r="M23" s="7" t="n"/>
      <c r="N23" s="14" t="n"/>
      <c r="O23" s="7" t="n"/>
    </row>
    <row r="24">
      <c r="A24" s="28" t="inlineStr">
        <is>
          <t>PUR-016</t>
        </is>
      </c>
      <c r="B24" s="28" t="n">
        <v>3</v>
      </c>
      <c r="C24" s="29" t="inlineStr">
        <is>
          <t>Gom đơn</t>
        </is>
      </c>
      <c r="D24" s="28" t="inlineStr">
        <is>
          <t>Phát sinh</t>
        </is>
      </c>
      <c r="E24" s="29" t="inlineStr">
        <is>
          <t>Gộp PO nháp khác Hãng hoặc chỉ chọn 1 PO</t>
        </is>
      </c>
      <c r="F24" s="29" t="inlineStr">
        <is>
          <t>Bị chặn</t>
        </is>
      </c>
      <c r="G24" s="7" t="n"/>
      <c r="H24" s="15" t="n"/>
      <c r="I24" s="14" t="n"/>
      <c r="J24" s="7" t="n"/>
      <c r="K24" s="14" t="n"/>
      <c r="L24" s="7" t="n"/>
      <c r="M24" s="7" t="n"/>
      <c r="N24" s="14" t="n"/>
      <c r="O24" s="7" t="n"/>
    </row>
    <row r="25">
      <c r="A25" s="28" t="inlineStr">
        <is>
          <t>PUR-017</t>
        </is>
      </c>
      <c r="B25" s="28" t="n">
        <v>3</v>
      </c>
      <c r="C25" s="29" t="inlineStr">
        <is>
          <t>Gom đơn</t>
        </is>
      </c>
      <c r="D25" s="28" t="inlineStr">
        <is>
          <t>Phát sinh</t>
        </is>
      </c>
      <c r="E25" s="29" t="inlineStr">
        <is>
          <t>Đặt số lượng lớn hơn số còn cần đặt</t>
        </is>
      </c>
      <c r="F25" s="29" t="inlineStr">
        <is>
          <t>Bị chặn</t>
        </is>
      </c>
      <c r="G25" s="7" t="n"/>
      <c r="H25" s="15" t="n"/>
      <c r="I25" s="14" t="n"/>
      <c r="J25" s="7" t="n"/>
      <c r="K25" s="14" t="n"/>
      <c r="L25" s="7" t="n"/>
      <c r="M25" s="7" t="n"/>
      <c r="N25" s="14" t="n"/>
      <c r="O25" s="7" t="n"/>
    </row>
    <row r="26">
      <c r="A26" s="28" t="inlineStr">
        <is>
          <t>PUR-018</t>
        </is>
      </c>
      <c r="B26" s="28" t="n">
        <v>3</v>
      </c>
      <c r="C26" s="29" t="inlineStr">
        <is>
          <t>Gom đơn</t>
        </is>
      </c>
      <c r="D26" s="28" t="inlineStr">
        <is>
          <t>Phát sinh</t>
        </is>
      </c>
      <c r="E26" s="29" t="inlineStr">
        <is>
          <t>Hủy 1 sản phẩm ở bước gom đơn kèm lý do; khôi phục lại</t>
        </is>
      </c>
      <c r="F26" s="29" t="inlineStr">
        <is>
          <t>Sales nhận thông báo, P&amp;L mở lại; khôi phục được dòng đã hủy</t>
        </is>
      </c>
      <c r="G26" s="7" t="n"/>
      <c r="H26" s="15" t="n"/>
      <c r="I26" s="14" t="n"/>
      <c r="J26" s="7" t="n"/>
      <c r="K26" s="14" t="n"/>
      <c r="L26" s="7" t="n"/>
      <c r="M26" s="7" t="n"/>
      <c r="N26" s="14" t="n"/>
      <c r="O26" s="7" t="n"/>
    </row>
    <row r="27">
      <c r="A27" s="28" t="inlineStr">
        <is>
          <t>PUR-019</t>
        </is>
      </c>
      <c r="B27" s="28" t="n">
        <v>3</v>
      </c>
      <c r="C27" s="29" t="inlineStr">
        <is>
          <t>Gom đơn</t>
        </is>
      </c>
      <c r="D27" s="28" t="inlineStr">
        <is>
          <t>Phát sinh</t>
        </is>
      </c>
      <c r="E27" s="29" t="inlineStr">
        <is>
          <t>Thông báo cho Sales về 1 sản phẩm (hết hàng, đổi model)</t>
        </is>
      </c>
      <c r="F27" s="29" t="inlineStr">
        <is>
          <t>Sales nhận thông báo</t>
        </is>
      </c>
      <c r="G27" s="7" t="n"/>
      <c r="H27" s="15" t="n"/>
      <c r="I27" s="14" t="n"/>
      <c r="J27" s="7" t="n"/>
      <c r="K27" s="14" t="n"/>
      <c r="L27" s="7" t="n"/>
      <c r="M27" s="7" t="n"/>
      <c r="N27" s="14" t="n"/>
      <c r="O27" s="7" t="n"/>
    </row>
    <row r="28">
      <c r="A28" s="27" t="inlineStr">
        <is>
          <t>BƯỚC 4: XÁC NHẬN &amp; DUYỆT PO</t>
        </is>
      </c>
    </row>
    <row r="29">
      <c r="A29" s="12" t="inlineStr">
        <is>
          <t>PUR-020</t>
        </is>
      </c>
      <c r="B29" s="12" t="n">
        <v>4</v>
      </c>
      <c r="C29" s="10" t="inlineStr">
        <is>
          <t>Duyệt PO</t>
        </is>
      </c>
      <c r="D29" s="12" t="inlineStr">
        <is>
          <t>Luồng chính</t>
        </is>
      </c>
      <c r="E29" s="10" t="inlineStr">
        <is>
          <t>Xác nhận PO nháp → gửi duyệt → PO Manager duyệt</t>
        </is>
      </c>
      <c r="F29" s="10" t="inlineStr">
        <is>
          <t>"Đã đặt", Sales các SO liên quan nhận thông báo</t>
        </is>
      </c>
      <c r="G29" s="7" t="n"/>
      <c r="H29" s="15" t="n"/>
      <c r="I29" s="14" t="n"/>
      <c r="J29" s="7" t="n"/>
      <c r="K29" s="14" t="n"/>
      <c r="L29" s="7" t="n"/>
      <c r="M29" s="7" t="n"/>
      <c r="N29" s="14" t="n"/>
      <c r="O29" s="7" t="n"/>
    </row>
    <row r="30">
      <c r="A30" s="12" t="inlineStr">
        <is>
          <t>PUR-021</t>
        </is>
      </c>
      <c r="B30" s="12" t="n">
        <v>4</v>
      </c>
      <c r="C30" s="10" t="inlineStr">
        <is>
          <t>Duyệt PO</t>
        </is>
      </c>
      <c r="D30" s="12" t="inlineStr">
        <is>
          <t>Luồng chính</t>
        </is>
      </c>
      <c r="E30" s="10" t="inlineStr">
        <is>
          <t>Xem trước / in / xuất Excel PO</t>
        </is>
      </c>
      <c r="F30" s="10" t="inlineStr">
        <is>
          <t>Đúng mẫu công ty và mẫu riêng NCC</t>
        </is>
      </c>
      <c r="G30" s="7" t="n"/>
      <c r="H30" s="15" t="n"/>
      <c r="I30" s="14" t="n"/>
      <c r="J30" s="7" t="n"/>
      <c r="K30" s="14" t="n"/>
      <c r="L30" s="7" t="n"/>
      <c r="M30" s="7" t="n"/>
      <c r="N30" s="14" t="n"/>
      <c r="O30" s="7" t="n"/>
    </row>
    <row r="31">
      <c r="A31" s="28" t="inlineStr">
        <is>
          <t>PUR-022</t>
        </is>
      </c>
      <c r="B31" s="28" t="n">
        <v>4</v>
      </c>
      <c r="C31" s="29" t="inlineStr">
        <is>
          <t>Duyệt PO</t>
        </is>
      </c>
      <c r="D31" s="28" t="inlineStr">
        <is>
          <t>Phát sinh</t>
        </is>
      </c>
      <c r="E31" s="29" t="inlineStr">
        <is>
          <t>SO có đợt "trước đặt hàng" chưa được KT xác nhận, xác nhận PO nháp</t>
        </is>
      </c>
      <c r="F31" s="29" t="inlineStr">
        <is>
          <t>Bị chặn, liệt kê đợt còn thiếu</t>
        </is>
      </c>
      <c r="G31" s="7" t="n"/>
      <c r="H31" s="15" t="n"/>
      <c r="I31" s="14" t="n"/>
      <c r="J31" s="7" t="n"/>
      <c r="K31" s="14" t="n"/>
      <c r="L31" s="7" t="n"/>
      <c r="M31" s="7" t="n"/>
      <c r="N31" s="14" t="n"/>
      <c r="O31" s="7" t="n"/>
    </row>
    <row r="32">
      <c r="A32" s="28" t="inlineStr">
        <is>
          <t>PUR-023</t>
        </is>
      </c>
      <c r="B32" s="28" t="n">
        <v>4</v>
      </c>
      <c r="C32" s="29" t="inlineStr">
        <is>
          <t>Duyệt PO</t>
        </is>
      </c>
      <c r="D32" s="28" t="inlineStr">
        <is>
          <t>Phát sinh</t>
        </is>
      </c>
      <c r="E32" s="29" t="inlineStr">
        <is>
          <t>PO Manager từ chối PO</t>
        </is>
      </c>
      <c r="F32" s="29" t="inlineStr">
        <is>
          <t>Người tạo nhận "PO … đã bị từ chối", sửa và gửi duyệt lại</t>
        </is>
      </c>
      <c r="G32" s="7" t="n"/>
      <c r="H32" s="15" t="n"/>
      <c r="I32" s="14" t="n"/>
      <c r="J32" s="7" t="n"/>
      <c r="K32" s="14" t="n"/>
      <c r="L32" s="7" t="n"/>
      <c r="M32" s="7" t="n"/>
      <c r="N32" s="14" t="n"/>
      <c r="O32" s="7" t="n"/>
    </row>
    <row r="33">
      <c r="A33" s="28" t="inlineStr">
        <is>
          <t>PUR-024</t>
        </is>
      </c>
      <c r="B33" s="28" t="n">
        <v>4</v>
      </c>
      <c r="C33" s="29" t="inlineStr">
        <is>
          <t>Duyệt PO</t>
        </is>
      </c>
      <c r="D33" s="28" t="inlineStr">
        <is>
          <t>Phát sinh</t>
        </is>
      </c>
      <c r="E33" s="29" t="inlineStr">
        <is>
          <t>Sửa PO không ở trạng thái nháp, hoặc đã hoàn thành / hủy</t>
        </is>
      </c>
      <c r="F33" s="29" t="inlineStr">
        <is>
          <t>Bị chặn</t>
        </is>
      </c>
      <c r="G33" s="7" t="n"/>
      <c r="H33" s="15" t="n"/>
      <c r="I33" s="14" t="n"/>
      <c r="J33" s="7" t="n"/>
      <c r="K33" s="14" t="n"/>
      <c r="L33" s="7" t="n"/>
      <c r="M33" s="7" t="n"/>
      <c r="N33" s="14" t="n"/>
      <c r="O33" s="7" t="n"/>
    </row>
    <row r="34">
      <c r="A34" s="28" t="inlineStr">
        <is>
          <t>PUR-025</t>
        </is>
      </c>
      <c r="B34" s="28" t="n">
        <v>4</v>
      </c>
      <c r="C34" s="29" t="inlineStr">
        <is>
          <t>Duyệt PO</t>
        </is>
      </c>
      <c r="D34" s="28" t="inlineStr">
        <is>
          <t>Phát sinh</t>
        </is>
      </c>
      <c r="E34" s="29" t="inlineStr">
        <is>
          <t>PO không gắn SO → liên kết thủ công với SO</t>
        </is>
      </c>
      <c r="F34" s="29" t="inlineStr">
        <is>
          <t>SO hiển thị tiến độ đặt hàng</t>
        </is>
      </c>
      <c r="G34" s="7" t="n"/>
      <c r="H34" s="15" t="n"/>
      <c r="I34" s="14" t="n"/>
      <c r="J34" s="7" t="n"/>
      <c r="K34" s="14" t="n"/>
      <c r="L34" s="7" t="n"/>
      <c r="M34" s="7" t="n"/>
      <c r="N34" s="14" t="n"/>
      <c r="O34" s="7" t="n"/>
    </row>
    <row r="35">
      <c r="A35" s="27" t="inlineStr">
        <is>
          <t>BƯỚC 5: GỬI HÃNG, THEO DÕI HÀNG VỀ</t>
        </is>
      </c>
    </row>
    <row r="36">
      <c r="A36" s="12" t="inlineStr">
        <is>
          <t>PUR-026</t>
        </is>
      </c>
      <c r="B36" s="12" t="n">
        <v>5</v>
      </c>
      <c r="C36" s="10" t="inlineStr">
        <is>
          <t>Gửi Hãng &amp; theo dõi</t>
        </is>
      </c>
      <c r="D36" s="12" t="inlineStr">
        <is>
          <t>Luồng chính</t>
        </is>
      </c>
      <c r="E36" s="10" t="inlineStr">
        <is>
          <t>Gửi PO qua email cho NCC</t>
        </is>
      </c>
      <c r="F36" s="10" t="inlineStr">
        <is>
          <t>Email đến đúng địa chỉ, kèm file PO</t>
        </is>
      </c>
      <c r="G36" s="7" t="n"/>
      <c r="H36" s="15" t="n"/>
      <c r="I36" s="14" t="n"/>
      <c r="J36" s="7" t="n"/>
      <c r="K36" s="14" t="n"/>
      <c r="L36" s="7" t="n"/>
      <c r="M36" s="7" t="n"/>
      <c r="N36" s="14" t="n"/>
      <c r="O36" s="7" t="n"/>
    </row>
    <row r="37">
      <c r="A37" s="12" t="inlineStr">
        <is>
          <t>PUR-027</t>
        </is>
      </c>
      <c r="B37" s="12" t="n">
        <v>5</v>
      </c>
      <c r="C37" s="10" t="inlineStr">
        <is>
          <t>Gửi Hãng &amp; theo dõi</t>
        </is>
      </c>
      <c r="D37" s="12" t="inlineStr">
        <is>
          <t>Luồng chính</t>
        </is>
      </c>
      <c r="E37" s="10" t="inlineStr">
        <is>
          <t>NCC xác nhận → cập nhật ETD, ETA, vận đơn</t>
        </is>
      </c>
      <c r="F37" s="10" t="inlineStr">
        <is>
          <t>Sales thấy "Hãng đang sản xuất (ETD …)" / "Đang vận chuyển về VN (ETA …)"</t>
        </is>
      </c>
      <c r="G37" s="7" t="n"/>
      <c r="H37" s="15" t="n"/>
      <c r="I37" s="14" t="n"/>
      <c r="J37" s="7" t="n"/>
      <c r="K37" s="14" t="n"/>
      <c r="L37" s="7" t="n"/>
      <c r="M37" s="7" t="n"/>
      <c r="N37" s="14" t="n"/>
      <c r="O37" s="7" t="n"/>
    </row>
    <row r="38">
      <c r="A38" s="12" t="inlineStr">
        <is>
          <t>PUR-028</t>
        </is>
      </c>
      <c r="B38" s="12" t="n">
        <v>5</v>
      </c>
      <c r="C38" s="10" t="inlineStr">
        <is>
          <t>Gửi Hãng &amp; theo dõi</t>
        </is>
      </c>
      <c r="D38" s="12" t="inlineStr">
        <is>
          <t>Luồng chính</t>
        </is>
      </c>
      <c r="E38" s="10" t="inlineStr">
        <is>
          <t>Chuyển PO sang "Đang về"</t>
        </is>
      </c>
      <c r="F38" s="10" t="inlineStr">
        <is>
          <t>Toàn bộ / từng dòng đổi trạng thái</t>
        </is>
      </c>
      <c r="G38" s="7" t="n"/>
      <c r="H38" s="15" t="n"/>
      <c r="I38" s="14" t="n"/>
      <c r="J38" s="7" t="n"/>
      <c r="K38" s="14" t="n"/>
      <c r="L38" s="7" t="n"/>
      <c r="M38" s="7" t="n"/>
      <c r="N38" s="14" t="n"/>
      <c r="O38" s="7" t="n"/>
    </row>
    <row r="39">
      <c r="A39" s="12" t="inlineStr">
        <is>
          <t>PUR-029</t>
        </is>
      </c>
      <c r="B39" s="12" t="n">
        <v>5</v>
      </c>
      <c r="C39" s="10" t="inlineStr">
        <is>
          <t>Gửi Hãng &amp; theo dõi</t>
        </is>
      </c>
      <c r="D39" s="12" t="inlineStr">
        <is>
          <t>Luồng chính</t>
        </is>
      </c>
      <c r="E39" s="10" t="inlineStr">
        <is>
          <t>Upload license cho dòng license</t>
        </is>
      </c>
      <c r="F39" s="10" t="inlineStr">
        <is>
          <t>Sales nhận thông báo, xem / tải được</t>
        </is>
      </c>
      <c r="G39" s="7" t="n"/>
      <c r="H39" s="15" t="n"/>
      <c r="I39" s="14" t="n"/>
      <c r="J39" s="7" t="n"/>
      <c r="K39" s="14" t="n"/>
      <c r="L39" s="7" t="n"/>
      <c r="M39" s="7" t="n"/>
      <c r="N39" s="14" t="n"/>
      <c r="O39" s="7" t="n"/>
    </row>
    <row r="40">
      <c r="A40" s="28" t="inlineStr">
        <is>
          <t>PUR-030</t>
        </is>
      </c>
      <c r="B40" s="28" t="n">
        <v>5</v>
      </c>
      <c r="C40" s="29" t="inlineStr">
        <is>
          <t>Gửi Hãng &amp; theo dõi</t>
        </is>
      </c>
      <c r="D40" s="28" t="inlineStr">
        <is>
          <t>Phát sinh</t>
        </is>
      </c>
      <c r="E40" s="29" t="inlineStr">
        <is>
          <t>Hold PO kèm lý do; gỡ Hold</t>
        </is>
      </c>
      <c r="F40" s="29" t="inlineStr">
        <is>
          <t>Sales nhận thông báo; gỡ Hold thì tiếp tục xử lý</t>
        </is>
      </c>
      <c r="G40" s="7" t="n"/>
      <c r="H40" s="15" t="n"/>
      <c r="I40" s="14" t="n"/>
      <c r="J40" s="7" t="n"/>
      <c r="K40" s="14" t="n"/>
      <c r="L40" s="7" t="n"/>
      <c r="M40" s="7" t="n"/>
      <c r="N40" s="14" t="n"/>
      <c r="O40" s="7" t="n"/>
    </row>
    <row r="41">
      <c r="A41" s="28" t="inlineStr">
        <is>
          <t>PUR-031</t>
        </is>
      </c>
      <c r="B41" s="28" t="n">
        <v>5</v>
      </c>
      <c r="C41" s="29" t="inlineStr">
        <is>
          <t>Gửi Hãng &amp; theo dõi</t>
        </is>
      </c>
      <c r="D41" s="28" t="inlineStr">
        <is>
          <t>Phát sinh</t>
        </is>
      </c>
      <c r="E41" s="29" t="inlineStr">
        <is>
          <t>Cập nhật tracking cho PO đã hoàn thành / đã hủy</t>
        </is>
      </c>
      <c r="F41" s="29" t="inlineStr">
        <is>
          <t>Bị chặn</t>
        </is>
      </c>
      <c r="G41" s="7" t="n"/>
      <c r="H41" s="15" t="n"/>
      <c r="I41" s="14" t="n"/>
      <c r="J41" s="7" t="n"/>
      <c r="K41" s="14" t="n"/>
      <c r="L41" s="7" t="n"/>
      <c r="M41" s="7" t="n"/>
      <c r="N41" s="14" t="n"/>
      <c r="O41" s="7" t="n"/>
    </row>
    <row r="42">
      <c r="A42" s="28" t="inlineStr">
        <is>
          <t>PUR-032</t>
        </is>
      </c>
      <c r="B42" s="28" t="n">
        <v>5</v>
      </c>
      <c r="C42" s="29" t="inlineStr">
        <is>
          <t>Gửi Hãng &amp; theo dõi</t>
        </is>
      </c>
      <c r="D42" s="28" t="inlineStr">
        <is>
          <t>Phát sinh</t>
        </is>
      </c>
      <c r="E42" s="29" t="inlineStr">
        <is>
          <t>Trả PO về Gom đơn (khi chưa Đang về); thử với PO đã Đang về</t>
        </is>
      </c>
      <c r="F42" s="29" t="inlineStr">
        <is>
          <t>Dòng quay lại Gom đơn; PO đã Đang về: bị chặn</t>
        </is>
      </c>
      <c r="G42" s="7" t="n"/>
      <c r="H42" s="15" t="n"/>
      <c r="I42" s="14" t="n"/>
      <c r="J42" s="7" t="n"/>
      <c r="K42" s="14" t="n"/>
      <c r="L42" s="7" t="n"/>
      <c r="M42" s="7" t="n"/>
      <c r="N42" s="14" t="n"/>
      <c r="O42" s="7" t="n"/>
    </row>
    <row r="43">
      <c r="A43" s="28" t="inlineStr">
        <is>
          <t>PUR-033</t>
        </is>
      </c>
      <c r="B43" s="28" t="n">
        <v>5</v>
      </c>
      <c r="C43" s="29" t="inlineStr">
        <is>
          <t>Gửi Hãng &amp; theo dõi</t>
        </is>
      </c>
      <c r="D43" s="28" t="inlineStr">
        <is>
          <t>Phát sinh</t>
        </is>
      </c>
      <c r="E43" s="29" t="inlineStr">
        <is>
          <t>Hủy PO kèm lý do</t>
        </is>
      </c>
      <c r="F43" s="29" t="inlineStr">
        <is>
          <t>Yêu cầu đặt hàng của Sales về "Thiếu thông tin", P&amp;L mở lại nếu chọn</t>
        </is>
      </c>
      <c r="G43" s="7" t="n"/>
      <c r="H43" s="15" t="n"/>
      <c r="I43" s="14" t="n"/>
      <c r="J43" s="7" t="n"/>
      <c r="K43" s="14" t="n"/>
      <c r="L43" s="7" t="n"/>
      <c r="M43" s="7" t="n"/>
      <c r="N43" s="14" t="n"/>
      <c r="O43" s="7" t="n"/>
    </row>
    <row r="44">
      <c r="A44" s="28" t="inlineStr">
        <is>
          <t>PUR-034</t>
        </is>
      </c>
      <c r="B44" s="28" t="n">
        <v>5</v>
      </c>
      <c r="C44" s="29" t="inlineStr">
        <is>
          <t>Gửi Hãng &amp; theo dõi</t>
        </is>
      </c>
      <c r="D44" s="28" t="inlineStr">
        <is>
          <t>Phát sinh</t>
        </is>
      </c>
      <c r="E44" s="29" t="inlineStr">
        <is>
          <t>Xóa PO bằng tài khoản không phải Admin; Admin xóa</t>
        </is>
      </c>
      <c r="F44" s="29" t="inlineStr">
        <is>
          <t>Không phải Admin: bị chặn. Admin: xóa kèm phiếu nhập, tồn kho, phiếu xuất liên quan (kiểm tra tồn sau xóa)</t>
        </is>
      </c>
      <c r="G44" s="7" t="n"/>
      <c r="H44" s="15" t="n"/>
      <c r="I44" s="14" t="n"/>
      <c r="J44" s="7" t="n"/>
      <c r="K44" s="14" t="n"/>
      <c r="L44" s="7" t="n"/>
      <c r="M44" s="7" t="n"/>
      <c r="N44" s="14" t="n"/>
      <c r="O44" s="7" t="n"/>
    </row>
    <row r="45">
      <c r="A45" s="27" t="inlineStr">
        <is>
          <t>BƯỚC 6: NHẬN HÀNG, NHẬP S/N</t>
        </is>
      </c>
    </row>
    <row r="46">
      <c r="A46" s="12" t="inlineStr">
        <is>
          <t>PUR-035</t>
        </is>
      </c>
      <c r="B46" s="12" t="n">
        <v>6</v>
      </c>
      <c r="C46" s="10" t="inlineStr">
        <is>
          <t>Nhận hàng</t>
        </is>
      </c>
      <c r="D46" s="12" t="inlineStr">
        <is>
          <t>Luồng chính</t>
        </is>
      </c>
      <c r="E46" s="10" t="inlineStr">
        <is>
          <t>Nhận một phần</t>
        </is>
      </c>
      <c r="F46" s="10" t="inlineStr">
        <is>
          <t>PO "Đang về (một phần)", phiếu nhập tự sinh cho phần đã nhận, Sales thấy "Đã nhập kho một phần (x/y)"</t>
        </is>
      </c>
      <c r="G46" s="7" t="n"/>
      <c r="H46" s="15" t="n"/>
      <c r="I46" s="14" t="n"/>
      <c r="J46" s="7" t="n"/>
      <c r="K46" s="14" t="n"/>
      <c r="L46" s="7" t="n"/>
      <c r="M46" s="7" t="n"/>
      <c r="N46" s="14" t="n"/>
      <c r="O46" s="7" t="n"/>
    </row>
    <row r="47">
      <c r="A47" s="12" t="inlineStr">
        <is>
          <t>PUR-036</t>
        </is>
      </c>
      <c r="B47" s="12" t="n">
        <v>6</v>
      </c>
      <c r="C47" s="10" t="inlineStr">
        <is>
          <t>Nhận hàng</t>
        </is>
      </c>
      <c r="D47" s="12" t="inlineStr">
        <is>
          <t>Luồng chính</t>
        </is>
      </c>
      <c r="E47" s="10" t="inlineStr">
        <is>
          <t>Nhận đủ / Nhận tất cả</t>
        </is>
      </c>
      <c r="F47" s="10" t="inlineStr">
        <is>
          <t>"Đã về – đủ hàng", Sales nhận thông báo đủ hàng</t>
        </is>
      </c>
      <c r="G47" s="7" t="n"/>
      <c r="H47" s="15" t="n"/>
      <c r="I47" s="14" t="n"/>
      <c r="J47" s="7" t="n"/>
      <c r="K47" s="14" t="n"/>
      <c r="L47" s="7" t="n"/>
      <c r="M47" s="7" t="n"/>
      <c r="N47" s="14" t="n"/>
      <c r="O47" s="7" t="n"/>
    </row>
    <row r="48">
      <c r="A48" s="12" t="inlineStr">
        <is>
          <t>PUR-037</t>
        </is>
      </c>
      <c r="B48" s="12" t="n">
        <v>6</v>
      </c>
      <c r="C48" s="10" t="inlineStr">
        <is>
          <t>Nhận hàng</t>
        </is>
      </c>
      <c r="D48" s="12" t="inlineStr">
        <is>
          <t>Luồng chính</t>
        </is>
      </c>
      <c r="E48" s="10" t="inlineStr">
        <is>
          <t>Import S/N cho 1 PO và nhiều PO; nhập S/N thủ công</t>
        </is>
      </c>
      <c r="F48" s="10" t="inlineStr">
        <is>
          <t>S/N gắn đúng dòng PO</t>
        </is>
      </c>
      <c r="G48" s="7" t="n"/>
      <c r="H48" s="15" t="n"/>
      <c r="I48" s="14" t="n"/>
      <c r="J48" s="7" t="n"/>
      <c r="K48" s="14" t="n"/>
      <c r="L48" s="7" t="n"/>
      <c r="M48" s="7" t="n"/>
      <c r="N48" s="14" t="n"/>
      <c r="O48" s="7" t="n"/>
    </row>
    <row r="49">
      <c r="A49" s="28" t="inlineStr">
        <is>
          <t>PUR-038</t>
        </is>
      </c>
      <c r="B49" s="28" t="n">
        <v>6</v>
      </c>
      <c r="C49" s="29" t="inlineStr">
        <is>
          <t>Nhận hàng</t>
        </is>
      </c>
      <c r="D49" s="28" t="inlineStr">
        <is>
          <t>Phát sinh</t>
        </is>
      </c>
      <c r="E49" s="29" t="inlineStr">
        <is>
          <t>Nhận số lượng vượt số còn lại</t>
        </is>
      </c>
      <c r="F49" s="29" t="inlineStr">
        <is>
          <t>Bị chặn</t>
        </is>
      </c>
      <c r="G49" s="7" t="n"/>
      <c r="H49" s="15" t="n"/>
      <c r="I49" s="14" t="n"/>
      <c r="J49" s="7" t="n"/>
      <c r="K49" s="14" t="n"/>
      <c r="L49" s="7" t="n"/>
      <c r="M49" s="7" t="n"/>
      <c r="N49" s="14" t="n"/>
      <c r="O49" s="7" t="n"/>
    </row>
    <row r="50">
      <c r="A50" s="28" t="inlineStr">
        <is>
          <t>PUR-039</t>
        </is>
      </c>
      <c r="B50" s="28" t="n">
        <v>6</v>
      </c>
      <c r="C50" s="29" t="inlineStr">
        <is>
          <t>Nhận hàng</t>
        </is>
      </c>
      <c r="D50" s="28" t="inlineStr">
        <is>
          <t>Phát sinh</t>
        </is>
      </c>
      <c r="E50" s="29" t="inlineStr">
        <is>
          <t>File S/N không khớp mã PO / Part Number; file trống</t>
        </is>
      </c>
      <c r="F50" s="29" t="inlineStr">
        <is>
          <t>Báo rõ không tìm thấy dòng phù hợp / file không có dữ liệu</t>
        </is>
      </c>
      <c r="G50" s="7" t="n"/>
      <c r="H50" s="15" t="n"/>
      <c r="I50" s="14" t="n"/>
      <c r="J50" s="7" t="n"/>
      <c r="K50" s="14" t="n"/>
      <c r="L50" s="7" t="n"/>
      <c r="M50" s="7" t="n"/>
      <c r="N50" s="14" t="n"/>
      <c r="O50" s="7" t="n"/>
    </row>
    <row r="51">
      <c r="A51" s="28" t="inlineStr">
        <is>
          <t>PUR-040</t>
        </is>
      </c>
      <c r="B51" s="28" t="n">
        <v>6</v>
      </c>
      <c r="C51" s="29" t="inlineStr">
        <is>
          <t>Nhận hàng</t>
        </is>
      </c>
      <c r="D51" s="28" t="inlineStr">
        <is>
          <t>Phát sinh</t>
        </is>
      </c>
      <c r="E51" s="29" t="inlineStr">
        <is>
          <t>S/N trùng với S/N đã có trong kho</t>
        </is>
      </c>
      <c r="F51" s="29" t="inlineStr">
        <is>
          <t>Cảnh báo trùng</t>
        </is>
      </c>
      <c r="G51" s="7" t="n"/>
      <c r="H51" s="15" t="n"/>
      <c r="I51" s="14" t="n"/>
      <c r="J51" s="7" t="n"/>
      <c r="K51" s="14" t="n"/>
      <c r="L51" s="7" t="n"/>
      <c r="M51" s="7" t="n"/>
      <c r="N51" s="14" t="n"/>
      <c r="O51" s="7" t="n"/>
    </row>
    <row r="52">
      <c r="A52" s="28" t="inlineStr">
        <is>
          <t>PUR-041</t>
        </is>
      </c>
      <c r="B52" s="28" t="n">
        <v>6</v>
      </c>
      <c r="C52" s="29" t="inlineStr">
        <is>
          <t>Nhận hàng</t>
        </is>
      </c>
      <c r="D52" s="28" t="inlineStr">
        <is>
          <t>Phát sinh</t>
        </is>
      </c>
      <c r="E52" s="29" t="inlineStr">
        <is>
          <t>Ngày trong file sai định dạng</t>
        </is>
      </c>
      <c r="F52" s="29" t="inlineStr">
        <is>
          <t>Báo "Không thể parse ngày"</t>
        </is>
      </c>
      <c r="G52" s="7" t="n"/>
      <c r="H52" s="15" t="n"/>
      <c r="I52" s="14" t="n"/>
      <c r="J52" s="7" t="n"/>
      <c r="K52" s="14" t="n"/>
      <c r="L52" s="7" t="n"/>
      <c r="M52" s="7" t="n"/>
      <c r="N52" s="14" t="n"/>
      <c r="O52" s="7" t="n"/>
    </row>
    <row r="53">
      <c r="A53" s="28" t="inlineStr">
        <is>
          <t>PUR-042</t>
        </is>
      </c>
      <c r="B53" s="28" t="n">
        <v>6</v>
      </c>
      <c r="C53" s="29" t="inlineStr">
        <is>
          <t>Nhận hàng</t>
        </is>
      </c>
      <c r="D53" s="28" t="inlineStr">
        <is>
          <t>Phát sinh</t>
        </is>
      </c>
      <c r="E53" s="29" t="inlineStr">
        <is>
          <t>Sửa đơn giá dòng PO sau khi đã nhập kho</t>
        </is>
      </c>
      <c r="F53" s="29" t="inlineStr">
        <is>
          <t>Giá trị tồn kho cập nhật đúng quy định</t>
        </is>
      </c>
      <c r="G53" s="7" t="n"/>
      <c r="H53" s="15" t="n"/>
      <c r="I53" s="14" t="n"/>
      <c r="J53" s="7" t="n"/>
      <c r="K53" s="14" t="n"/>
      <c r="L53" s="7" t="n"/>
      <c r="M53" s="7" t="n"/>
      <c r="N53" s="14" t="n"/>
      <c r="O53" s="7" t="n"/>
    </row>
    <row r="54">
      <c r="A54" s="27" t="inlineStr">
        <is>
          <t>BƯỚC 7: BÁO CÁO MUA HÀNG</t>
        </is>
      </c>
    </row>
    <row r="55">
      <c r="A55" s="12" t="inlineStr">
        <is>
          <t>PUR-043</t>
        </is>
      </c>
      <c r="B55" s="12" t="n">
        <v>7</v>
      </c>
      <c r="C55" s="10" t="inlineStr">
        <is>
          <t>Báo cáo mua hàng</t>
        </is>
      </c>
      <c r="D55" s="12" t="inlineStr">
        <is>
          <t>Luồng chính</t>
        </is>
      </c>
      <c r="E55" s="10" t="inlineStr">
        <is>
          <t>Mở Báo cáo mua hàng, lọc theo NCC / kỳ, xuất Excel</t>
        </is>
      </c>
      <c r="F55" s="10" t="inlineStr">
        <is>
          <t>Số liệu khớp các PO trong kỳ, file mở được</t>
        </is>
      </c>
      <c r="G55" s="7" t="n"/>
      <c r="H55" s="15" t="n"/>
      <c r="I55" s="14" t="n"/>
      <c r="J55" s="7" t="n"/>
      <c r="K55" s="14" t="n"/>
      <c r="L55" s="7" t="n"/>
      <c r="M55" s="7" t="n"/>
      <c r="N55" s="14" t="n"/>
      <c r="O55" s="7" t="n"/>
    </row>
  </sheetData>
  <autoFilter ref="A5:O55"/>
  <mergeCells count="10">
    <mergeCell ref="A15:O15"/>
    <mergeCell ref="A35:O35"/>
    <mergeCell ref="A20:O20"/>
    <mergeCell ref="A2:O2"/>
    <mergeCell ref="A54:O54"/>
    <mergeCell ref="A28:O28"/>
    <mergeCell ref="A1:O1"/>
    <mergeCell ref="A45:O45"/>
    <mergeCell ref="A6:O6"/>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O70"/>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KHO</t>
        </is>
      </c>
    </row>
    <row r="2" ht="16" customHeight="1">
      <c r="A2" s="21" t="inlineStr">
        <is>
          <t>Tài khoản test: Nhân viên kho (thao tác), Quản lý kho (duyệt), Admin (duyệt đề xuất xuất kho, sửa Số PO phiếu nhập)</t>
        </is>
      </c>
    </row>
    <row r="3" ht="48" customHeight="1">
      <c r="A3" s="5" t="inlineStr">
        <is>
          <t>Kho giữ số liệu tồn thật: mọi thiết bị theo dõi theo kho, Số PO và S/N. Phiếu nhập sinh từ PO của Mua hàng, phiếu xuất sinh từ đề xuất của Sales. Việc của Kho là kiểm hàng, ghi đúng S/N và bấm duyệt — chỉ khi Kho duyệt thì tồn mới tăng / giảm. Kho runrate là kho hàng có sẵn, Sales được xin giữ trước.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THIẾT LẬP KHO &amp; TỒN ĐẦU KỲ</t>
        </is>
      </c>
    </row>
    <row r="7">
      <c r="A7" s="12" t="inlineStr">
        <is>
          <t>WH-001</t>
        </is>
      </c>
      <c r="B7" s="12" t="n">
        <v>1</v>
      </c>
      <c r="C7" s="10" t="inlineStr">
        <is>
          <t>Thiết lập kho</t>
        </is>
      </c>
      <c r="D7" s="12" t="inlineStr">
        <is>
          <t>Luồng chính</t>
        </is>
      </c>
      <c r="E7" s="10" t="inlineStr">
        <is>
          <t>Tạo kho mới, đánh dấu Kho runrate</t>
        </is>
      </c>
      <c r="F7" s="10" t="inlineStr">
        <is>
          <t>Kho xuất hiện ở mọi dropdown chọn kho</t>
        </is>
      </c>
      <c r="G7" s="7" t="n"/>
      <c r="H7" s="15" t="n"/>
      <c r="I7" s="14" t="n"/>
      <c r="J7" s="7" t="n"/>
      <c r="K7" s="14" t="n"/>
      <c r="L7" s="7" t="n"/>
      <c r="M7" s="7" t="n"/>
      <c r="N7" s="14" t="n"/>
      <c r="O7" s="7" t="n"/>
    </row>
    <row r="8">
      <c r="A8" s="12" t="inlineStr">
        <is>
          <t>WH-002</t>
        </is>
      </c>
      <c r="B8" s="12" t="n">
        <v>1</v>
      </c>
      <c r="C8" s="10" t="inlineStr">
        <is>
          <t>Thiết lập kho</t>
        </is>
      </c>
      <c r="D8" s="12" t="inlineStr">
        <is>
          <t>Luồng chính</t>
        </is>
      </c>
      <c r="E8" s="10" t="inlineStr">
        <is>
          <t>Import tồn kho từ Excel</t>
        </is>
      </c>
      <c r="F8" s="10" t="inlineStr">
        <is>
          <t>Báo số sản phẩm đã nhập, tồn đúng</t>
        </is>
      </c>
      <c r="G8" s="7" t="n"/>
      <c r="H8" s="15" t="n"/>
      <c r="I8" s="14" t="n"/>
      <c r="J8" s="7" t="n"/>
      <c r="K8" s="14" t="n"/>
      <c r="L8" s="7" t="n"/>
      <c r="M8" s="7" t="n"/>
      <c r="N8" s="14" t="n"/>
      <c r="O8" s="7" t="n"/>
    </row>
    <row r="9">
      <c r="A9" s="28" t="inlineStr">
        <is>
          <t>WH-003</t>
        </is>
      </c>
      <c r="B9" s="28" t="n">
        <v>1</v>
      </c>
      <c r="C9" s="29" t="inlineStr">
        <is>
          <t>Thiết lập kho</t>
        </is>
      </c>
      <c r="D9" s="28" t="inlineStr">
        <is>
          <t>Phát sinh</t>
        </is>
      </c>
      <c r="E9" s="29" t="inlineStr">
        <is>
          <t>File có dòng thiếu mã kho / mã kho không tồn tại / mã SP không tồn tại / ngày sai / S/N trống hoặc trùng</t>
        </is>
      </c>
      <c r="F9" s="29" t="inlineStr">
        <is>
          <t>Báo lỗi theo "Dòng N: …", không nhập dòng lỗi</t>
        </is>
      </c>
      <c r="G9" s="7" t="n"/>
      <c r="H9" s="15" t="n"/>
      <c r="I9" s="14" t="n"/>
      <c r="J9" s="7" t="n"/>
      <c r="K9" s="14" t="n"/>
      <c r="L9" s="7" t="n"/>
      <c r="M9" s="7" t="n"/>
      <c r="N9" s="14" t="n"/>
      <c r="O9" s="7" t="n"/>
    </row>
    <row r="10">
      <c r="A10" s="28" t="inlineStr">
        <is>
          <t>WH-004</t>
        </is>
      </c>
      <c r="B10" s="28" t="n">
        <v>1</v>
      </c>
      <c r="C10" s="29" t="inlineStr">
        <is>
          <t>Thiết lập kho</t>
        </is>
      </c>
      <c r="D10" s="28" t="inlineStr">
        <is>
          <t>Phát sinh</t>
        </is>
      </c>
      <c r="E10" s="29" t="inlineStr">
        <is>
          <t>File trống / chỉ có tiêu đề</t>
        </is>
      </c>
      <c r="F10" s="29" t="inlineStr">
        <is>
          <t>Báo lỗi</t>
        </is>
      </c>
      <c r="G10" s="7" t="n"/>
      <c r="H10" s="15" t="n"/>
      <c r="I10" s="14" t="n"/>
      <c r="J10" s="7" t="n"/>
      <c r="K10" s="14" t="n"/>
      <c r="L10" s="7" t="n"/>
      <c r="M10" s="7" t="n"/>
      <c r="N10" s="14" t="n"/>
      <c r="O10" s="7" t="n"/>
    </row>
    <row r="11">
      <c r="A11" s="28" t="inlineStr">
        <is>
          <t>WH-005</t>
        </is>
      </c>
      <c r="B11" s="28" t="n">
        <v>1</v>
      </c>
      <c r="C11" s="29" t="inlineStr">
        <is>
          <t>Thiết lập kho</t>
        </is>
      </c>
      <c r="D11" s="28" t="inlineStr">
        <is>
          <t>Phát sinh</t>
        </is>
      </c>
      <c r="E11" s="29" t="inlineStr">
        <is>
          <t>Xóa kho đang có hàng</t>
        </is>
      </c>
      <c r="F11" s="29" t="inlineStr">
        <is>
          <t>Bị chặn "Không thể xóa kho đang có hàng tồn kho"</t>
        </is>
      </c>
      <c r="G11" s="7" t="n"/>
      <c r="H11" s="15" t="n"/>
      <c r="I11" s="14" t="n"/>
      <c r="J11" s="7" t="n"/>
      <c r="K11" s="14" t="n"/>
      <c r="L11" s="7" t="n"/>
      <c r="M11" s="7" t="n"/>
      <c r="N11" s="14" t="n"/>
      <c r="O11" s="7" t="n"/>
    </row>
    <row r="12">
      <c r="A12" s="27" t="inlineStr">
        <is>
          <t>BƯỚC 2: NHẬP KHO</t>
        </is>
      </c>
    </row>
    <row r="13">
      <c r="A13" s="12" t="inlineStr">
        <is>
          <t>WH-006</t>
        </is>
      </c>
      <c r="B13" s="12" t="n">
        <v>2</v>
      </c>
      <c r="C13" s="10" t="inlineStr">
        <is>
          <t>Nhập kho</t>
        </is>
      </c>
      <c r="D13" s="12" t="inlineStr">
        <is>
          <t>Luồng chính</t>
        </is>
      </c>
      <c r="E13" s="10" t="inlineStr">
        <is>
          <t>PO được nhận hàng → mở phiếu nhập tự sinh</t>
        </is>
      </c>
      <c r="F13" s="10" t="inlineStr">
        <is>
          <t>Phiếu "Chờ xử lý" ghi chú tự tạo từ PO; dòng dịch vụ không vào phiếu</t>
        </is>
      </c>
      <c r="G13" s="7" t="n"/>
      <c r="H13" s="15" t="n"/>
      <c r="I13" s="14" t="n"/>
      <c r="J13" s="7" t="n"/>
      <c r="K13" s="14" t="n"/>
      <c r="L13" s="7" t="n"/>
      <c r="M13" s="7" t="n"/>
      <c r="N13" s="14" t="n"/>
      <c r="O13" s="7" t="n"/>
    </row>
    <row r="14">
      <c r="A14" s="12" t="inlineStr">
        <is>
          <t>WH-007</t>
        </is>
      </c>
      <c r="B14" s="12" t="n">
        <v>2</v>
      </c>
      <c r="C14" s="10" t="inlineStr">
        <is>
          <t>Nhập kho</t>
        </is>
      </c>
      <c r="D14" s="12" t="inlineStr">
        <is>
          <t>Luồng chính</t>
        </is>
      </c>
      <c r="E14" s="10" t="inlineStr">
        <is>
          <t>Nhập S/N (mỗi dòng 1 S/N hoặc dấu phẩy), duyệt</t>
        </is>
      </c>
      <c r="F14" s="10" t="inlineStr">
        <is>
          <t>Hàng vào tồn đúng kho, đúng Số PO</t>
        </is>
      </c>
      <c r="G14" s="7" t="n"/>
      <c r="H14" s="15" t="n"/>
      <c r="I14" s="14" t="n"/>
      <c r="J14" s="7" t="n"/>
      <c r="K14" s="14" t="n"/>
      <c r="L14" s="7" t="n"/>
      <c r="M14" s="7" t="n"/>
      <c r="N14" s="14" t="n"/>
      <c r="O14" s="7" t="n"/>
    </row>
    <row r="15">
      <c r="A15" s="12" t="inlineStr">
        <is>
          <t>WH-008</t>
        </is>
      </c>
      <c r="B15" s="12" t="n">
        <v>2</v>
      </c>
      <c r="C15" s="10" t="inlineStr">
        <is>
          <t>Nhập kho</t>
        </is>
      </c>
      <c r="D15" s="12" t="inlineStr">
        <is>
          <t>Luồng chính</t>
        </is>
      </c>
      <c r="E15" s="10" t="inlineStr">
        <is>
          <t>Tạo phiếu nhập tay (hàng mượn, trả lại) → duyệt</t>
        </is>
      </c>
      <c r="F15" s="10" t="inlineStr">
        <is>
          <t>Tồn tăng</t>
        </is>
      </c>
      <c r="G15" s="7" t="n"/>
      <c r="H15" s="15" t="n"/>
      <c r="I15" s="14" t="n"/>
      <c r="J15" s="7" t="n"/>
      <c r="K15" s="14" t="n"/>
      <c r="L15" s="7" t="n"/>
      <c r="M15" s="7" t="n"/>
      <c r="N15" s="14" t="n"/>
      <c r="O15" s="7" t="n"/>
    </row>
    <row r="16">
      <c r="A16" s="12" t="inlineStr">
        <is>
          <t>WH-009</t>
        </is>
      </c>
      <c r="B16" s="12" t="n">
        <v>2</v>
      </c>
      <c r="C16" s="10" t="inlineStr">
        <is>
          <t>Nhập kho</t>
        </is>
      </c>
      <c r="D16" s="12" t="inlineStr">
        <is>
          <t>Luồng chính</t>
        </is>
      </c>
      <c r="E16" s="10" t="inlineStr">
        <is>
          <t>In phiếu nhập, xuất MISA 1 phiếu / nhiều phiếu</t>
        </is>
      </c>
      <c r="F16" s="10" t="inlineStr">
        <is>
          <t>File đúng định dạng</t>
        </is>
      </c>
      <c r="G16" s="7" t="n"/>
      <c r="H16" s="15" t="n"/>
      <c r="I16" s="14" t="n"/>
      <c r="J16" s="7" t="n"/>
      <c r="K16" s="14" t="n"/>
      <c r="L16" s="7" t="n"/>
      <c r="M16" s="7" t="n"/>
      <c r="N16" s="14" t="n"/>
      <c r="O16" s="7" t="n"/>
    </row>
    <row r="17">
      <c r="A17" s="28" t="inlineStr">
        <is>
          <t>WH-010</t>
        </is>
      </c>
      <c r="B17" s="28" t="n">
        <v>2</v>
      </c>
      <c r="C17" s="29" t="inlineStr">
        <is>
          <t>Nhập kho</t>
        </is>
      </c>
      <c r="D17" s="28" t="inlineStr">
        <is>
          <t>Phát sinh</t>
        </is>
      </c>
      <c r="E17" s="29" t="inlineStr">
        <is>
          <t>Sản phẩm trên PO chưa có trong danh mục</t>
        </is>
      </c>
      <c r="F17" s="29" t="inlineStr">
        <is>
          <t>Tạo nhanh sản phẩm ngay trên phiếu nhập</t>
        </is>
      </c>
      <c r="G17" s="7" t="n"/>
      <c r="H17" s="15" t="n"/>
      <c r="I17" s="14" t="n"/>
      <c r="J17" s="7" t="n"/>
      <c r="K17" s="14" t="n"/>
      <c r="L17" s="7" t="n"/>
      <c r="M17" s="7" t="n"/>
      <c r="N17" s="14" t="n"/>
      <c r="O17" s="7" t="n"/>
    </row>
    <row r="18">
      <c r="A18" s="28" t="inlineStr">
        <is>
          <t>WH-011</t>
        </is>
      </c>
      <c r="B18" s="28" t="n">
        <v>2</v>
      </c>
      <c r="C18" s="29" t="inlineStr">
        <is>
          <t>Nhập kho</t>
        </is>
      </c>
      <c r="D18" s="28" t="inlineStr">
        <is>
          <t>Phát sinh</t>
        </is>
      </c>
      <c r="E18" s="29" t="inlineStr">
        <is>
          <t>Nhập S/N đã tồn tại trong hệ thống</t>
        </is>
      </c>
      <c r="F18" s="29" t="inlineStr">
        <is>
          <t>Báo "Một hoặc nhiều Serial đã tồn tại…"</t>
        </is>
      </c>
      <c r="G18" s="7" t="n"/>
      <c r="H18" s="15" t="n"/>
      <c r="I18" s="14" t="n"/>
      <c r="J18" s="7" t="n"/>
      <c r="K18" s="14" t="n"/>
      <c r="L18" s="7" t="n"/>
      <c r="M18" s="7" t="n"/>
      <c r="N18" s="14" t="n"/>
      <c r="O18" s="7" t="n"/>
    </row>
    <row r="19">
      <c r="A19" s="28" t="inlineStr">
        <is>
          <t>WH-012</t>
        </is>
      </c>
      <c r="B19" s="28" t="n">
        <v>2</v>
      </c>
      <c r="C19" s="29" t="inlineStr">
        <is>
          <t>Nhập kho</t>
        </is>
      </c>
      <c r="D19" s="28" t="inlineStr">
        <is>
          <t>Phát sinh</t>
        </is>
      </c>
      <c r="E19" s="29" t="inlineStr">
        <is>
          <t>Duyệt lại phiếu đã hoàn thành</t>
        </is>
      </c>
      <c r="F19" s="29" t="inlineStr">
        <is>
          <t>Báo đã duyệt trước đó, tồn không cộng 2 lần</t>
        </is>
      </c>
      <c r="G19" s="7" t="n"/>
      <c r="H19" s="15" t="n"/>
      <c r="I19" s="14" t="n"/>
      <c r="J19" s="7" t="n"/>
      <c r="K19" s="14" t="n"/>
      <c r="L19" s="7" t="n"/>
      <c r="M19" s="7" t="n"/>
      <c r="N19" s="14" t="n"/>
      <c r="O19" s="7" t="n"/>
    </row>
    <row r="20">
      <c r="A20" s="28" t="inlineStr">
        <is>
          <t>WH-013</t>
        </is>
      </c>
      <c r="B20" s="28" t="n">
        <v>2</v>
      </c>
      <c r="C20" s="29" t="inlineStr">
        <is>
          <t>Nhập kho</t>
        </is>
      </c>
      <c r="D20" s="28" t="inlineStr">
        <is>
          <t>Phát sinh</t>
        </is>
      </c>
      <c r="E20" s="29" t="inlineStr">
        <is>
          <t>Từ chối phiếu nhập</t>
        </is>
      </c>
      <c r="F20" s="29" t="inlineStr">
        <is>
          <t>Người tạo nhận "Phiếu nhập đã bị từ chối", tồn không đổi</t>
        </is>
      </c>
      <c r="G20" s="7" t="n"/>
      <c r="H20" s="15" t="n"/>
      <c r="I20" s="14" t="n"/>
      <c r="J20" s="7" t="n"/>
      <c r="K20" s="14" t="n"/>
      <c r="L20" s="7" t="n"/>
      <c r="M20" s="7" t="n"/>
      <c r="N20" s="14" t="n"/>
      <c r="O20" s="7" t="n"/>
    </row>
    <row r="21">
      <c r="A21" s="28" t="inlineStr">
        <is>
          <t>WH-014</t>
        </is>
      </c>
      <c r="B21" s="28" t="n">
        <v>2</v>
      </c>
      <c r="C21" s="29" t="inlineStr">
        <is>
          <t>Nhập kho</t>
        </is>
      </c>
      <c r="D21" s="28" t="inlineStr">
        <is>
          <t>Phát sinh</t>
        </is>
      </c>
      <c r="E21" s="29" t="inlineStr">
        <is>
          <t>Sửa / xóa phiếu đã hoàn thành; xóa phiếu chờ xử lý / bị từ chối</t>
        </is>
      </c>
      <c r="F21" s="29" t="inlineStr">
        <is>
          <t>Hoàn thành: bị chặn. Chờ xử lý / từ chối: xóa được</t>
        </is>
      </c>
      <c r="G21" s="7" t="n"/>
      <c r="H21" s="15" t="n"/>
      <c r="I21" s="14" t="n"/>
      <c r="J21" s="7" t="n"/>
      <c r="K21" s="14" t="n"/>
      <c r="L21" s="7" t="n"/>
      <c r="M21" s="7" t="n"/>
      <c r="N21" s="14" t="n"/>
      <c r="O21" s="7" t="n"/>
    </row>
    <row r="22">
      <c r="A22" s="28" t="inlineStr">
        <is>
          <t>WH-015</t>
        </is>
      </c>
      <c r="B22" s="28" t="n">
        <v>2</v>
      </c>
      <c r="C22" s="29" t="inlineStr">
        <is>
          <t>Nhập kho</t>
        </is>
      </c>
      <c r="D22" s="28" t="inlineStr">
        <is>
          <t>Phát sinh</t>
        </is>
      </c>
      <c r="E22" s="29" t="inlineStr">
        <is>
          <t>Sửa Số PO phiếu nhập bằng tài khoản không phải Admin; Admin sửa</t>
        </is>
      </c>
      <c r="F22" s="29" t="inlineStr">
        <is>
          <t>Không phải Admin: bị chặn. Admin: tồn gom theo Số PO mới</t>
        </is>
      </c>
      <c r="G22" s="7" t="n"/>
      <c r="H22" s="15" t="n"/>
      <c r="I22" s="14" t="n"/>
      <c r="J22" s="7" t="n"/>
      <c r="K22" s="14" t="n"/>
      <c r="L22" s="7" t="n"/>
      <c r="M22" s="7" t="n"/>
      <c r="N22" s="14" t="n"/>
      <c r="O22" s="7" t="n"/>
    </row>
    <row r="23">
      <c r="A23" s="28" t="inlineStr">
        <is>
          <t>WH-016</t>
        </is>
      </c>
      <c r="B23" s="28" t="n">
        <v>2</v>
      </c>
      <c r="C23" s="29" t="inlineStr">
        <is>
          <t>Nhập kho</t>
        </is>
      </c>
      <c r="D23" s="28" t="inlineStr">
        <is>
          <t>Phát sinh</t>
        </is>
      </c>
      <c r="E23" s="29" t="inlineStr">
        <is>
          <t>Nhập kho một phần 2 lần cho cùng PO</t>
        </is>
      </c>
      <c r="F23" s="29" t="inlineStr">
        <is>
          <t>2 phiếu, tổng không vượt số lượng PO</t>
        </is>
      </c>
      <c r="G23" s="7" t="n"/>
      <c r="H23" s="15" t="n"/>
      <c r="I23" s="14" t="n"/>
      <c r="J23" s="7" t="n"/>
      <c r="K23" s="14" t="n"/>
      <c r="L23" s="7" t="n"/>
      <c r="M23" s="7" t="n"/>
      <c r="N23" s="14" t="n"/>
      <c r="O23" s="7" t="n"/>
    </row>
    <row r="24">
      <c r="A24" s="27" t="inlineStr">
        <is>
          <t>BƯỚC 3: GIỮ HÀNG (KHO RUNRATE)</t>
        </is>
      </c>
    </row>
    <row r="25">
      <c r="A25" s="12" t="inlineStr">
        <is>
          <t>WH-017</t>
        </is>
      </c>
      <c r="B25" s="12" t="n">
        <v>3</v>
      </c>
      <c r="C25" s="10" t="inlineStr">
        <is>
          <t>Giữ hàng</t>
        </is>
      </c>
      <c r="D25" s="12" t="inlineStr">
        <is>
          <t>Luồng chính</t>
        </is>
      </c>
      <c r="E25" s="10" t="inlineStr">
        <is>
          <t>Sales tạo yêu cầu giữ hàng theo model, số lượng</t>
        </is>
      </c>
      <c r="F25" s="10" t="inlineStr">
        <is>
          <t>Kho nhận "Yêu cầu giữ hàng từ bạn"</t>
        </is>
      </c>
      <c r="G25" s="7" t="n"/>
      <c r="H25" s="15" t="n"/>
      <c r="I25" s="14" t="n"/>
      <c r="J25" s="7" t="n"/>
      <c r="K25" s="14" t="n"/>
      <c r="L25" s="7" t="n"/>
      <c r="M25" s="7" t="n"/>
      <c r="N25" s="14" t="n"/>
      <c r="O25" s="7" t="n"/>
    </row>
    <row r="26">
      <c r="A26" s="12" t="inlineStr">
        <is>
          <t>WH-018</t>
        </is>
      </c>
      <c r="B26" s="12" t="n">
        <v>3</v>
      </c>
      <c r="C26" s="10" t="inlineStr">
        <is>
          <t>Giữ hàng</t>
        </is>
      </c>
      <c r="D26" s="12" t="inlineStr">
        <is>
          <t>Luồng chính</t>
        </is>
      </c>
      <c r="E26" s="10" t="inlineStr">
        <is>
          <t>Kho duyệt</t>
        </is>
      </c>
      <c r="F26" s="10" t="inlineStr">
        <is>
          <t>Sales nhận thông báo, số giữ không còn trong khả dụng</t>
        </is>
      </c>
      <c r="G26" s="7" t="n"/>
      <c r="H26" s="15" t="n"/>
      <c r="I26" s="14" t="n"/>
      <c r="J26" s="7" t="n"/>
      <c r="K26" s="14" t="n"/>
      <c r="L26" s="7" t="n"/>
      <c r="M26" s="7" t="n"/>
      <c r="N26" s="14" t="n"/>
      <c r="O26" s="7" t="n"/>
    </row>
    <row r="27">
      <c r="A27" s="12" t="inlineStr">
        <is>
          <t>WH-019</t>
        </is>
      </c>
      <c r="B27" s="12" t="n">
        <v>3</v>
      </c>
      <c r="C27" s="10" t="inlineStr">
        <is>
          <t>Giữ hàng</t>
        </is>
      </c>
      <c r="D27" s="12" t="inlineStr">
        <is>
          <t>Luồng chính</t>
        </is>
      </c>
      <c r="E27" s="10" t="inlineStr">
        <is>
          <t>Xuất kho đơn có hàng giữ: quét S/N bất kỳ cùng model</t>
        </is>
      </c>
      <c r="F27" s="10" t="inlineStr">
        <is>
          <t>Suất giữ chuyển đúng, không bị trừ trùng</t>
        </is>
      </c>
      <c r="G27" s="7" t="n"/>
      <c r="H27" s="15" t="n"/>
      <c r="I27" s="14" t="n"/>
      <c r="J27" s="7" t="n"/>
      <c r="K27" s="14" t="n"/>
      <c r="L27" s="7" t="n"/>
      <c r="M27" s="7" t="n"/>
      <c r="N27" s="14" t="n"/>
      <c r="O27" s="7" t="n"/>
    </row>
    <row r="28">
      <c r="A28" s="12" t="inlineStr">
        <is>
          <t>WH-020</t>
        </is>
      </c>
      <c r="B28" s="12" t="n">
        <v>3</v>
      </c>
      <c r="C28" s="10" t="inlineStr">
        <is>
          <t>Giữ hàng</t>
        </is>
      </c>
      <c r="D28" s="12" t="inlineStr">
        <is>
          <t>Luồng chính</t>
        </is>
      </c>
      <c r="E28" s="10" t="inlineStr">
        <is>
          <t>Xem danh sách người đang giữ và lịch sử giữ hàng</t>
        </is>
      </c>
      <c r="F28" s="10" t="inlineStr">
        <is>
          <t>Hiển thị đúng</t>
        </is>
      </c>
      <c r="G28" s="7" t="n"/>
      <c r="H28" s="15" t="n"/>
      <c r="I28" s="14" t="n"/>
      <c r="J28" s="7" t="n"/>
      <c r="K28" s="14" t="n"/>
      <c r="L28" s="7" t="n"/>
      <c r="M28" s="7" t="n"/>
      <c r="N28" s="14" t="n"/>
      <c r="O28" s="7" t="n"/>
    </row>
    <row r="29">
      <c r="A29" s="28" t="inlineStr">
        <is>
          <t>WH-021</t>
        </is>
      </c>
      <c r="B29" s="28" t="n">
        <v>3</v>
      </c>
      <c r="C29" s="29" t="inlineStr">
        <is>
          <t>Giữ hàng</t>
        </is>
      </c>
      <c r="D29" s="28" t="inlineStr">
        <is>
          <t>Phát sinh</t>
        </is>
      </c>
      <c r="E29" s="29" t="inlineStr">
        <is>
          <t>Giữ số lượng lớn hơn khả dụng</t>
        </is>
      </c>
      <c r="F29" s="29" t="inlineStr">
        <is>
          <t>Báo "Không đủ thiết bị khả dụng… (Yêu cầu: x, Khả dụng: y)"</t>
        </is>
      </c>
      <c r="G29" s="7" t="n"/>
      <c r="H29" s="15" t="n"/>
      <c r="I29" s="14" t="n"/>
      <c r="J29" s="7" t="n"/>
      <c r="K29" s="14" t="n"/>
      <c r="L29" s="7" t="n"/>
      <c r="M29" s="7" t="n"/>
      <c r="N29" s="14" t="n"/>
      <c r="O29" s="7" t="n"/>
    </row>
    <row r="30">
      <c r="A30" s="28" t="inlineStr">
        <is>
          <t>WH-022</t>
        </is>
      </c>
      <c r="B30" s="28" t="n">
        <v>3</v>
      </c>
      <c r="C30" s="29" t="inlineStr">
        <is>
          <t>Giữ hàng</t>
        </is>
      </c>
      <c r="D30" s="28" t="inlineStr">
        <is>
          <t>Phát sinh</t>
        </is>
      </c>
      <c r="E30" s="29" t="inlineStr">
        <is>
          <t>Chưa cấu hình Kho runrate, tạo / duyệt yêu cầu</t>
        </is>
      </c>
      <c r="F30" s="29" t="inlineStr">
        <is>
          <t>Không làm được, thông báo rõ</t>
        </is>
      </c>
      <c r="G30" s="7" t="n"/>
      <c r="H30" s="15" t="n"/>
      <c r="I30" s="14" t="n"/>
      <c r="J30" s="7" t="n"/>
      <c r="K30" s="14" t="n"/>
      <c r="L30" s="7" t="n"/>
      <c r="M30" s="7" t="n"/>
      <c r="N30" s="14" t="n"/>
      <c r="O30" s="7" t="n"/>
    </row>
    <row r="31">
      <c r="A31" s="28" t="inlineStr">
        <is>
          <t>WH-023</t>
        </is>
      </c>
      <c r="B31" s="28" t="n">
        <v>3</v>
      </c>
      <c r="C31" s="29" t="inlineStr">
        <is>
          <t>Giữ hàng</t>
        </is>
      </c>
      <c r="D31" s="28" t="inlineStr">
        <is>
          <t>Phát sinh</t>
        </is>
      </c>
      <c r="E31" s="29" t="inlineStr">
        <is>
          <t>Hai Sales cùng giữ 1 model, tổng vượt tồn</t>
        </is>
      </c>
      <c r="F31" s="29" t="inlineStr">
        <is>
          <t>Yêu cầu duyệt sau bị chặn</t>
        </is>
      </c>
      <c r="G31" s="7" t="n"/>
      <c r="H31" s="15" t="n"/>
      <c r="I31" s="14" t="n"/>
      <c r="J31" s="7" t="n"/>
      <c r="K31" s="14" t="n"/>
      <c r="L31" s="7" t="n"/>
      <c r="M31" s="7" t="n"/>
      <c r="N31" s="14" t="n"/>
      <c r="O31" s="7" t="n"/>
    </row>
    <row r="32">
      <c r="A32" s="28" t="inlineStr">
        <is>
          <t>WH-024</t>
        </is>
      </c>
      <c r="B32" s="28" t="n">
        <v>3</v>
      </c>
      <c r="C32" s="29" t="inlineStr">
        <is>
          <t>Giữ hàng</t>
        </is>
      </c>
      <c r="D32" s="28" t="inlineStr">
        <is>
          <t>Phát sinh</t>
        </is>
      </c>
      <c r="E32" s="29" t="inlineStr">
        <is>
          <t>Từ chối kèm lý do; duyệt yêu cầu không ở trạng thái Chờ duyệt</t>
        </is>
      </c>
      <c r="F32" s="29" t="inlineStr">
        <is>
          <t>Sales nhận lý do; duyệt lại: bị chặn</t>
        </is>
      </c>
      <c r="G32" s="7" t="n"/>
      <c r="H32" s="15" t="n"/>
      <c r="I32" s="14" t="n"/>
      <c r="J32" s="7" t="n"/>
      <c r="K32" s="14" t="n"/>
      <c r="L32" s="7" t="n"/>
      <c r="M32" s="7" t="n"/>
      <c r="N32" s="14" t="n"/>
      <c r="O32" s="7" t="n"/>
    </row>
    <row r="33">
      <c r="A33" s="28" t="inlineStr">
        <is>
          <t>WH-025</t>
        </is>
      </c>
      <c r="B33" s="28" t="n">
        <v>3</v>
      </c>
      <c r="C33" s="29" t="inlineStr">
        <is>
          <t>Giữ hàng</t>
        </is>
      </c>
      <c r="D33" s="28" t="inlineStr">
        <is>
          <t>Phát sinh</t>
        </is>
      </c>
      <c r="E33" s="29" t="inlineStr">
        <is>
          <t>Item đã bán / hỏng trước khi duyệt</t>
        </is>
      </c>
      <c r="F33" s="29" t="inlineStr">
        <is>
          <t>Báo "Item … không còn trong kho"</t>
        </is>
      </c>
      <c r="G33" s="7" t="n"/>
      <c r="H33" s="15" t="n"/>
      <c r="I33" s="14" t="n"/>
      <c r="J33" s="7" t="n"/>
      <c r="K33" s="14" t="n"/>
      <c r="L33" s="7" t="n"/>
      <c r="M33" s="7" t="n"/>
      <c r="N33" s="14" t="n"/>
      <c r="O33" s="7" t="n"/>
    </row>
    <row r="34">
      <c r="A34" s="28" t="inlineStr">
        <is>
          <t>WH-026</t>
        </is>
      </c>
      <c r="B34" s="28" t="n">
        <v>3</v>
      </c>
      <c r="C34" s="29" t="inlineStr">
        <is>
          <t>Giữ hàng</t>
        </is>
      </c>
      <c r="D34" s="28" t="inlineStr">
        <is>
          <t>Phát sinh</t>
        </is>
      </c>
      <c r="E34" s="29" t="inlineStr">
        <is>
          <t>Người không có quyền mở lịch sử giữ hàng</t>
        </is>
      </c>
      <c r="F34" s="29" t="inlineStr">
        <is>
          <t>Bị chặn</t>
        </is>
      </c>
      <c r="G34" s="7" t="n"/>
      <c r="H34" s="15" t="n"/>
      <c r="I34" s="14" t="n"/>
      <c r="J34" s="7" t="n"/>
      <c r="K34" s="14" t="n"/>
      <c r="L34" s="7" t="n"/>
      <c r="M34" s="7" t="n"/>
      <c r="N34" s="14" t="n"/>
      <c r="O34" s="7" t="n"/>
    </row>
    <row r="35">
      <c r="A35" s="28" t="inlineStr">
        <is>
          <t>WH-027</t>
        </is>
      </c>
      <c r="B35" s="28" t="n">
        <v>3</v>
      </c>
      <c r="C35" s="29" t="inlineStr">
        <is>
          <t>Giữ hàng</t>
        </is>
      </c>
      <c r="D35" s="28" t="inlineStr">
        <is>
          <t>Phát sinh</t>
        </is>
      </c>
      <c r="E35" s="29" t="inlineStr">
        <is>
          <t>Mở màn tồn kho sau khi giữ</t>
        </is>
      </c>
      <c r="F35" s="29" t="inlineStr">
        <is>
          <t>Tách đúng phần đang giữ, phần khóa CQ, phần khả dụng</t>
        </is>
      </c>
      <c r="G35" s="7" t="n"/>
      <c r="H35" s="15" t="n"/>
      <c r="I35" s="14" t="n"/>
      <c r="J35" s="7" t="n"/>
      <c r="K35" s="14" t="n"/>
      <c r="L35" s="7" t="n"/>
      <c r="M35" s="7" t="n"/>
      <c r="N35" s="14" t="n"/>
      <c r="O35" s="7" t="n"/>
    </row>
    <row r="36">
      <c r="A36" s="27" t="inlineStr">
        <is>
          <t>BƯỚC 4: XUẤT KHO GIAO KHÁCH</t>
        </is>
      </c>
    </row>
    <row r="37">
      <c r="A37" s="12" t="inlineStr">
        <is>
          <t>WH-028</t>
        </is>
      </c>
      <c r="B37" s="12" t="n">
        <v>4</v>
      </c>
      <c r="C37" s="10" t="inlineStr">
        <is>
          <t>Xuất kho</t>
        </is>
      </c>
      <c r="D37" s="12" t="inlineStr">
        <is>
          <t>Luồng chính</t>
        </is>
      </c>
      <c r="E37" s="10" t="inlineStr">
        <is>
          <t>Sales gửi đề xuất xuất kho</t>
        </is>
      </c>
      <c r="F37" s="10" t="inlineStr">
        <is>
          <t>Phiếu "Chờ Admin duyệt xuất", Kho nhận thông báo chuẩn bị hàng</t>
        </is>
      </c>
      <c r="G37" s="7" t="n"/>
      <c r="H37" s="15" t="n"/>
      <c r="I37" s="14" t="n"/>
      <c r="J37" s="7" t="n"/>
      <c r="K37" s="14" t="n"/>
      <c r="L37" s="7" t="n"/>
      <c r="M37" s="7" t="n"/>
      <c r="N37" s="14" t="n"/>
      <c r="O37" s="7" t="n"/>
    </row>
    <row r="38">
      <c r="A38" s="12" t="inlineStr">
        <is>
          <t>WH-029</t>
        </is>
      </c>
      <c r="B38" s="12" t="n">
        <v>4</v>
      </c>
      <c r="C38" s="10" t="inlineStr">
        <is>
          <t>Xuất kho</t>
        </is>
      </c>
      <c r="D38" s="12" t="inlineStr">
        <is>
          <t>Luồng chính</t>
        </is>
      </c>
      <c r="E38" s="10" t="inlineStr">
        <is>
          <t>Admin duyệt → KT xuất HĐ chính thức</t>
        </is>
      </c>
      <c r="F38" s="10" t="inlineStr">
        <is>
          <t>"Chờ KT xuất hóa đơn" → Kho nhận "Đơn hàng sẵn sàng xuất kho"</t>
        </is>
      </c>
      <c r="G38" s="7" t="n"/>
      <c r="H38" s="15" t="n"/>
      <c r="I38" s="14" t="n"/>
      <c r="J38" s="7" t="n"/>
      <c r="K38" s="14" t="n"/>
      <c r="L38" s="7" t="n"/>
      <c r="M38" s="7" t="n"/>
      <c r="N38" s="14" t="n"/>
      <c r="O38" s="7" t="n"/>
    </row>
    <row r="39">
      <c r="A39" s="12" t="inlineStr">
        <is>
          <t>WH-030</t>
        </is>
      </c>
      <c r="B39" s="12" t="n">
        <v>4</v>
      </c>
      <c r="C39" s="10" t="inlineStr">
        <is>
          <t>Xuất kho</t>
        </is>
      </c>
      <c r="D39" s="12" t="inlineStr">
        <is>
          <t>Luồng chính</t>
        </is>
      </c>
      <c r="E39" s="10" t="inlineStr">
        <is>
          <t>Chọn kho xuất, quét S/N, duyệt</t>
        </is>
      </c>
      <c r="F39" s="10" t="inlineStr">
        <is>
          <t>Phiếu Hoàn thành, tồn trừ đúng S/N, S/N gắn đơn, bắt đầu tính bảo hành</t>
        </is>
      </c>
      <c r="G39" s="7" t="n"/>
      <c r="H39" s="15" t="n"/>
      <c r="I39" s="14" t="n"/>
      <c r="J39" s="7" t="n"/>
      <c r="K39" s="14" t="n"/>
      <c r="L39" s="7" t="n"/>
      <c r="M39" s="7" t="n"/>
      <c r="N39" s="14" t="n"/>
      <c r="O39" s="7" t="n"/>
    </row>
    <row r="40">
      <c r="A40" s="12" t="inlineStr">
        <is>
          <t>WH-031</t>
        </is>
      </c>
      <c r="B40" s="12" t="n">
        <v>4</v>
      </c>
      <c r="C40" s="10" t="inlineStr">
        <is>
          <t>Xuất kho</t>
        </is>
      </c>
      <c r="D40" s="12" t="inlineStr">
        <is>
          <t>Luồng chính</t>
        </is>
      </c>
      <c r="E40" s="10" t="inlineStr">
        <is>
          <t>Cập nhật ngày giao hàng</t>
        </is>
      </c>
      <c r="F40" s="10" t="inlineStr">
        <is>
          <t>Hạn các đợt "sau giao hàng" tính lại</t>
        </is>
      </c>
      <c r="G40" s="7" t="n"/>
      <c r="H40" s="15" t="n"/>
      <c r="I40" s="14" t="n"/>
      <c r="J40" s="7" t="n"/>
      <c r="K40" s="14" t="n"/>
      <c r="L40" s="7" t="n"/>
      <c r="M40" s="7" t="n"/>
      <c r="N40" s="14" t="n"/>
      <c r="O40" s="7" t="n"/>
    </row>
    <row r="41">
      <c r="A41" s="12" t="inlineStr">
        <is>
          <t>WH-032</t>
        </is>
      </c>
      <c r="B41" s="12" t="n">
        <v>4</v>
      </c>
      <c r="C41" s="10" t="inlineStr">
        <is>
          <t>Xuất kho</t>
        </is>
      </c>
      <c r="D41" s="12" t="inlineStr">
        <is>
          <t>Luồng chính</t>
        </is>
      </c>
      <c r="E41" s="10" t="inlineStr">
        <is>
          <t>Xuất một phần</t>
        </is>
      </c>
      <c r="F41" s="10" t="inlineStr">
        <is>
          <t>Phần còn lại vẫn còn trên đơn để xuất lần sau</t>
        </is>
      </c>
      <c r="G41" s="7" t="n"/>
      <c r="H41" s="15" t="n"/>
      <c r="I41" s="14" t="n"/>
      <c r="J41" s="7" t="n"/>
      <c r="K41" s="14" t="n"/>
      <c r="L41" s="7" t="n"/>
      <c r="M41" s="7" t="n"/>
      <c r="N41" s="14" t="n"/>
      <c r="O41" s="7" t="n"/>
    </row>
    <row r="42">
      <c r="A42" s="12" t="inlineStr">
        <is>
          <t>WH-033</t>
        </is>
      </c>
      <c r="B42" s="12" t="n">
        <v>4</v>
      </c>
      <c r="C42" s="10" t="inlineStr">
        <is>
          <t>Xuất kho</t>
        </is>
      </c>
      <c r="D42" s="12" t="inlineStr">
        <is>
          <t>Luồng chính</t>
        </is>
      </c>
      <c r="E42" s="10" t="inlineStr">
        <is>
          <t>In phiếu xuất, xuất Excel, xuất MISA</t>
        </is>
      </c>
      <c r="F42" s="10" t="inlineStr">
        <is>
          <t>File đúng</t>
        </is>
      </c>
      <c r="G42" s="7" t="n"/>
      <c r="H42" s="15" t="n"/>
      <c r="I42" s="14" t="n"/>
      <c r="J42" s="7" t="n"/>
      <c r="K42" s="14" t="n"/>
      <c r="L42" s="7" t="n"/>
      <c r="M42" s="7" t="n"/>
      <c r="N42" s="14" t="n"/>
      <c r="O42" s="7" t="n"/>
    </row>
    <row r="43">
      <c r="A43" s="28" t="inlineStr">
        <is>
          <t>WH-034</t>
        </is>
      </c>
      <c r="B43" s="28" t="n">
        <v>4</v>
      </c>
      <c r="C43" s="29" t="inlineStr">
        <is>
          <t>Xuất kho</t>
        </is>
      </c>
      <c r="D43" s="28" t="inlineStr">
        <is>
          <t>Phát sinh</t>
        </is>
      </c>
      <c r="E43" s="29" t="inlineStr">
        <is>
          <t>Duyệt xuất khi KT chưa xuất HĐ chính thức</t>
        </is>
      </c>
      <c r="F43" s="29" t="inlineStr">
        <is>
          <t>Bị chặn "Kho không thể xuất hàng: Kế toán chưa xuất hóa đơn…"</t>
        </is>
      </c>
      <c r="G43" s="7" t="n"/>
      <c r="H43" s="15" t="n"/>
      <c r="I43" s="14" t="n"/>
      <c r="J43" s="7" t="n"/>
      <c r="K43" s="14" t="n"/>
      <c r="L43" s="7" t="n"/>
      <c r="M43" s="7" t="n"/>
      <c r="N43" s="14" t="n"/>
      <c r="O43" s="7" t="n"/>
    </row>
    <row r="44">
      <c r="A44" s="28" t="inlineStr">
        <is>
          <t>WH-035</t>
        </is>
      </c>
      <c r="B44" s="28" t="n">
        <v>4</v>
      </c>
      <c r="C44" s="29" t="inlineStr">
        <is>
          <t>Xuất kho</t>
        </is>
      </c>
      <c r="D44" s="28" t="inlineStr">
        <is>
          <t>Phát sinh</t>
        </is>
      </c>
      <c r="E44" s="29" t="inlineStr">
        <is>
          <t>Đợt "trước xuất hàng" chưa được KT xác nhận</t>
        </is>
      </c>
      <c r="F44" s="29" t="inlineStr">
        <is>
          <t>Bị chặn, liệt kê đợt còn thiếu</t>
        </is>
      </c>
      <c r="G44" s="7" t="n"/>
      <c r="H44" s="15" t="n"/>
      <c r="I44" s="14" t="n"/>
      <c r="J44" s="7" t="n"/>
      <c r="K44" s="14" t="n"/>
      <c r="L44" s="7" t="n"/>
      <c r="M44" s="7" t="n"/>
      <c r="N44" s="14" t="n"/>
      <c r="O44" s="7" t="n"/>
    </row>
    <row r="45">
      <c r="A45" s="28" t="inlineStr">
        <is>
          <t>WH-036</t>
        </is>
      </c>
      <c r="B45" s="28" t="n">
        <v>4</v>
      </c>
      <c r="C45" s="29" t="inlineStr">
        <is>
          <t>Xuất kho</t>
        </is>
      </c>
      <c r="D45" s="28" t="inlineStr">
        <is>
          <t>Phát sinh</t>
        </is>
      </c>
      <c r="E45" s="29" t="inlineStr">
        <is>
          <t>Admin từ chối đề xuất kèm lý do</t>
        </is>
      </c>
      <c r="F45" s="29" t="inlineStr">
        <is>
          <t>Phiếu về Bản nháp, Sales nhận lý do, gửi lại được</t>
        </is>
      </c>
      <c r="G45" s="7" t="n"/>
      <c r="H45" s="15" t="n"/>
      <c r="I45" s="14" t="n"/>
      <c r="J45" s="7" t="n"/>
      <c r="K45" s="14" t="n"/>
      <c r="L45" s="7" t="n"/>
      <c r="M45" s="7" t="n"/>
      <c r="N45" s="14" t="n"/>
      <c r="O45" s="7" t="n"/>
    </row>
    <row r="46">
      <c r="A46" s="28" t="inlineStr">
        <is>
          <t>WH-037</t>
        </is>
      </c>
      <c r="B46" s="28" t="n">
        <v>4</v>
      </c>
      <c r="C46" s="29" t="inlineStr">
        <is>
          <t>Xuất kho</t>
        </is>
      </c>
      <c r="D46" s="28" t="inlineStr">
        <is>
          <t>Phát sinh</t>
        </is>
      </c>
      <c r="E46" s="29" t="inlineStr">
        <is>
          <t>Duyệt phiếu chưa được Admin phê duyệt</t>
        </is>
      </c>
      <c r="F46" s="29" t="inlineStr">
        <is>
          <t>Bị chặn</t>
        </is>
      </c>
      <c r="G46" s="7" t="n"/>
      <c r="H46" s="15" t="n"/>
      <c r="I46" s="14" t="n"/>
      <c r="J46" s="7" t="n"/>
      <c r="K46" s="14" t="n"/>
      <c r="L46" s="7" t="n"/>
      <c r="M46" s="7" t="n"/>
      <c r="N46" s="14" t="n"/>
      <c r="O46" s="7" t="n"/>
    </row>
    <row r="47">
      <c r="A47" s="28" t="inlineStr">
        <is>
          <t>WH-038</t>
        </is>
      </c>
      <c r="B47" s="28" t="n">
        <v>4</v>
      </c>
      <c r="C47" s="29" t="inlineStr">
        <is>
          <t>Xuất kho</t>
        </is>
      </c>
      <c r="D47" s="28" t="inlineStr">
        <is>
          <t>Phát sinh</t>
        </is>
      </c>
      <c r="E47" s="29" t="inlineStr">
        <is>
          <t>Quét S/N không thuộc model / không còn trong kho / đang bị người khác giữ</t>
        </is>
      </c>
      <c r="F47" s="29" t="inlineStr">
        <is>
          <t>Bị chặn</t>
        </is>
      </c>
      <c r="G47" s="7" t="n"/>
      <c r="H47" s="15" t="n"/>
      <c r="I47" s="14" t="n"/>
      <c r="J47" s="7" t="n"/>
      <c r="K47" s="14" t="n"/>
      <c r="L47" s="7" t="n"/>
      <c r="M47" s="7" t="n"/>
      <c r="N47" s="14" t="n"/>
      <c r="O47" s="7" t="n"/>
    </row>
    <row r="48">
      <c r="A48" s="28" t="inlineStr">
        <is>
          <t>WH-039</t>
        </is>
      </c>
      <c r="B48" s="28" t="n">
        <v>4</v>
      </c>
      <c r="C48" s="29" t="inlineStr">
        <is>
          <t>Xuất kho</t>
        </is>
      </c>
      <c r="D48" s="28" t="inlineStr">
        <is>
          <t>Phát sinh</t>
        </is>
      </c>
      <c r="E48" s="29" t="inlineStr">
        <is>
          <t>Số S/N quét khác số lượng xuất</t>
        </is>
      </c>
      <c r="F48" s="29" t="inlineStr">
        <is>
          <t>Báo không khớp</t>
        </is>
      </c>
      <c r="G48" s="7" t="n"/>
      <c r="H48" s="15" t="n"/>
      <c r="I48" s="14" t="n"/>
      <c r="J48" s="7" t="n"/>
      <c r="K48" s="14" t="n"/>
      <c r="L48" s="7" t="n"/>
      <c r="M48" s="7" t="n"/>
      <c r="N48" s="14" t="n"/>
      <c r="O48" s="7" t="n"/>
    </row>
    <row r="49">
      <c r="A49" s="28" t="inlineStr">
        <is>
          <t>WH-040</t>
        </is>
      </c>
      <c r="B49" s="28" t="n">
        <v>4</v>
      </c>
      <c r="C49" s="29" t="inlineStr">
        <is>
          <t>Xuất kho</t>
        </is>
      </c>
      <c r="D49" s="28" t="inlineStr">
        <is>
          <t>Phát sinh</t>
        </is>
      </c>
      <c r="E49" s="29" t="inlineStr">
        <is>
          <t>Đổi kho xuất cho phiếu đã hoàn thành / hủy</t>
        </is>
      </c>
      <c r="F49" s="29" t="inlineStr">
        <is>
          <t>Bị chặn</t>
        </is>
      </c>
      <c r="G49" s="7" t="n"/>
      <c r="H49" s="15" t="n"/>
      <c r="I49" s="14" t="n"/>
      <c r="J49" s="7" t="n"/>
      <c r="K49" s="14" t="n"/>
      <c r="L49" s="7" t="n"/>
      <c r="M49" s="7" t="n"/>
      <c r="N49" s="14" t="n"/>
      <c r="O49" s="7" t="n"/>
    </row>
    <row r="50">
      <c r="A50" s="28" t="inlineStr">
        <is>
          <t>WH-041</t>
        </is>
      </c>
      <c r="B50" s="28" t="n">
        <v>4</v>
      </c>
      <c r="C50" s="29" t="inlineStr">
        <is>
          <t>Xuất kho</t>
        </is>
      </c>
      <c r="D50" s="28" t="inlineStr">
        <is>
          <t>Phát sinh</t>
        </is>
      </c>
      <c r="E50" s="29" t="inlineStr">
        <is>
          <t>Phiếu thiếu thông tin kho</t>
        </is>
      </c>
      <c r="F50" s="29" t="inlineStr">
        <is>
          <t>Báo "Thiếu thông tin kho hàng. Không thể trừ tồn kho"</t>
        </is>
      </c>
      <c r="G50" s="7" t="n"/>
      <c r="H50" s="15" t="n"/>
      <c r="I50" s="14" t="n"/>
      <c r="J50" s="7" t="n"/>
      <c r="K50" s="14" t="n"/>
      <c r="L50" s="7" t="n"/>
      <c r="M50" s="7" t="n"/>
      <c r="N50" s="14" t="n"/>
      <c r="O50" s="7" t="n"/>
    </row>
    <row r="51">
      <c r="A51" s="28" t="inlineStr">
        <is>
          <t>WH-042</t>
        </is>
      </c>
      <c r="B51" s="28" t="n">
        <v>4</v>
      </c>
      <c r="C51" s="29" t="inlineStr">
        <is>
          <t>Xuất kho</t>
        </is>
      </c>
      <c r="D51" s="28" t="inlineStr">
        <is>
          <t>Phát sinh</t>
        </is>
      </c>
      <c r="E51" s="29" t="inlineStr">
        <is>
          <t>Người không phải nhân sự kho sửa thông tin vận hành kho</t>
        </is>
      </c>
      <c r="F51" s="29" t="inlineStr">
        <is>
          <t>Bị chặn</t>
        </is>
      </c>
      <c r="G51" s="7" t="n"/>
      <c r="H51" s="15" t="n"/>
      <c r="I51" s="14" t="n"/>
      <c r="J51" s="7" t="n"/>
      <c r="K51" s="14" t="n"/>
      <c r="L51" s="7" t="n"/>
      <c r="M51" s="7" t="n"/>
      <c r="N51" s="14" t="n"/>
      <c r="O51" s="7" t="n"/>
    </row>
    <row r="52">
      <c r="A52" s="28" t="inlineStr">
        <is>
          <t>WH-043</t>
        </is>
      </c>
      <c r="B52" s="28" t="n">
        <v>4</v>
      </c>
      <c r="C52" s="29" t="inlineStr">
        <is>
          <t>Xuất kho</t>
        </is>
      </c>
      <c r="D52" s="28" t="inlineStr">
        <is>
          <t>Phát sinh</t>
        </is>
      </c>
      <c r="E52" s="29" t="inlineStr">
        <is>
          <t>SO bị hủy</t>
        </is>
      </c>
      <c r="F52" s="29" t="inlineStr">
        <is>
          <t>Phiếu xuất liên quan bị hủy, tồn hoàn lại</t>
        </is>
      </c>
      <c r="G52" s="7" t="n"/>
      <c r="H52" s="15" t="n"/>
      <c r="I52" s="14" t="n"/>
      <c r="J52" s="7" t="n"/>
      <c r="K52" s="14" t="n"/>
      <c r="L52" s="7" t="n"/>
      <c r="M52" s="7" t="n"/>
      <c r="N52" s="14" t="n"/>
      <c r="O52" s="7" t="n"/>
    </row>
    <row r="53">
      <c r="A53" s="27" t="inlineStr">
        <is>
          <t>BƯỚC 5: CHUYỂN KHO</t>
        </is>
      </c>
    </row>
    <row r="54">
      <c r="A54" s="12" t="inlineStr">
        <is>
          <t>WH-044</t>
        </is>
      </c>
      <c r="B54" s="12" t="n">
        <v>5</v>
      </c>
      <c r="C54" s="10" t="inlineStr">
        <is>
          <t>Chuyển kho</t>
        </is>
      </c>
      <c r="D54" s="12" t="inlineStr">
        <is>
          <t>Luồng chính</t>
        </is>
      </c>
      <c r="E54" s="10" t="inlineStr">
        <is>
          <t>Tạo phiếu chuyển A → B, chọn S/N, duyệt</t>
        </is>
      </c>
      <c r="F54" s="10" t="inlineStr">
        <is>
          <t>A giảm, B tăng đúng S/N; người liên quan nhận thông báo</t>
        </is>
      </c>
      <c r="G54" s="7" t="n"/>
      <c r="H54" s="15" t="n"/>
      <c r="I54" s="14" t="n"/>
      <c r="J54" s="7" t="n"/>
      <c r="K54" s="14" t="n"/>
      <c r="L54" s="7" t="n"/>
      <c r="M54" s="7" t="n"/>
      <c r="N54" s="14" t="n"/>
      <c r="O54" s="7" t="n"/>
    </row>
    <row r="55">
      <c r="A55" s="28" t="inlineStr">
        <is>
          <t>WH-045</t>
        </is>
      </c>
      <c r="B55" s="28" t="n">
        <v>5</v>
      </c>
      <c r="C55" s="29" t="inlineStr">
        <is>
          <t>Chuyển kho</t>
        </is>
      </c>
      <c r="D55" s="28" t="inlineStr">
        <is>
          <t>Phát sinh</t>
        </is>
      </c>
      <c r="E55" s="29" t="inlineStr">
        <is>
          <t>Chuyển vượt tồn kho A, hoặc số lượng không khớp số S/N đã chọn</t>
        </is>
      </c>
      <c r="F55" s="29" t="inlineStr">
        <is>
          <t>Bị chặn</t>
        </is>
      </c>
      <c r="G55" s="7" t="n"/>
      <c r="H55" s="15" t="n"/>
      <c r="I55" s="14" t="n"/>
      <c r="J55" s="7" t="n"/>
      <c r="K55" s="14" t="n"/>
      <c r="L55" s="7" t="n"/>
      <c r="M55" s="7" t="n"/>
      <c r="N55" s="14" t="n"/>
      <c r="O55" s="7" t="n"/>
    </row>
    <row r="56">
      <c r="A56" s="28" t="inlineStr">
        <is>
          <t>WH-046</t>
        </is>
      </c>
      <c r="B56" s="28" t="n">
        <v>5</v>
      </c>
      <c r="C56" s="29" t="inlineStr">
        <is>
          <t>Chuyển kho</t>
        </is>
      </c>
      <c r="D56" s="28" t="inlineStr">
        <is>
          <t>Phát sinh</t>
        </is>
      </c>
      <c r="E56" s="29" t="inlineStr">
        <is>
          <t>Chuyển hàng đang được giữ</t>
        </is>
      </c>
      <c r="F56" s="29" t="inlineStr">
        <is>
          <t>Bị chặn hoặc cảnh báo</t>
        </is>
      </c>
      <c r="G56" s="7" t="n"/>
      <c r="H56" s="15" t="n"/>
      <c r="I56" s="14" t="n"/>
      <c r="J56" s="7" t="n"/>
      <c r="K56" s="14" t="n"/>
      <c r="L56" s="7" t="n"/>
      <c r="M56" s="7" t="n"/>
      <c r="N56" s="14" t="n"/>
      <c r="O56" s="7" t="n"/>
    </row>
    <row r="57">
      <c r="A57" s="28" t="inlineStr">
        <is>
          <t>WH-047</t>
        </is>
      </c>
      <c r="B57" s="28" t="n">
        <v>5</v>
      </c>
      <c r="C57" s="29" t="inlineStr">
        <is>
          <t>Chuyển kho</t>
        </is>
      </c>
      <c r="D57" s="28" t="inlineStr">
        <is>
          <t>Phát sinh</t>
        </is>
      </c>
      <c r="E57" s="29" t="inlineStr">
        <is>
          <t>Từ chối phiếu chuyển</t>
        </is>
      </c>
      <c r="F57" s="29" t="inlineStr">
        <is>
          <t>Tồn hai kho không đổi</t>
        </is>
      </c>
      <c r="G57" s="7" t="n"/>
      <c r="H57" s="15" t="n"/>
      <c r="I57" s="14" t="n"/>
      <c r="J57" s="7" t="n"/>
      <c r="K57" s="14" t="n"/>
      <c r="L57" s="7" t="n"/>
      <c r="M57" s="7" t="n"/>
      <c r="N57" s="14" t="n"/>
      <c r="O57" s="7" t="n"/>
    </row>
    <row r="58">
      <c r="A58" s="27" t="inlineStr">
        <is>
          <t>BƯỚC 6: HÀNG HỎNG / THANH LÝ</t>
        </is>
      </c>
    </row>
    <row r="59">
      <c r="A59" s="12" t="inlineStr">
        <is>
          <t>WH-048</t>
        </is>
      </c>
      <c r="B59" s="12" t="n">
        <v>6</v>
      </c>
      <c r="C59" s="10" t="inlineStr">
        <is>
          <t>Hàng hỏng</t>
        </is>
      </c>
      <c r="D59" s="12" t="inlineStr">
        <is>
          <t>Luồng chính</t>
        </is>
      </c>
      <c r="E59" s="10" t="inlineStr">
        <is>
          <t>Báo hỏng 1 S/N → duyệt</t>
        </is>
      </c>
      <c r="F59" s="10" t="inlineStr">
        <is>
          <t>S/N rời tồn khả dụng</t>
        </is>
      </c>
      <c r="G59" s="7" t="n"/>
      <c r="H59" s="15" t="n"/>
      <c r="I59" s="14" t="n"/>
      <c r="J59" s="7" t="n"/>
      <c r="K59" s="14" t="n"/>
      <c r="L59" s="7" t="n"/>
      <c r="M59" s="7" t="n"/>
      <c r="N59" s="14" t="n"/>
      <c r="O59" s="7" t="n"/>
    </row>
    <row r="60">
      <c r="A60" s="28" t="inlineStr">
        <is>
          <t>WH-049</t>
        </is>
      </c>
      <c r="B60" s="28" t="n">
        <v>6</v>
      </c>
      <c r="C60" s="29" t="inlineStr">
        <is>
          <t>Hàng hỏng</t>
        </is>
      </c>
      <c r="D60" s="28" t="inlineStr">
        <is>
          <t>Phát sinh</t>
        </is>
      </c>
      <c r="E60" s="29" t="inlineStr">
        <is>
          <t>Báo hỏng số lượng lớn hơn tồn; item đã bán trước khi duyệt</t>
        </is>
      </c>
      <c r="F60" s="29" t="inlineStr">
        <is>
          <t>Bị chặn / báo không còn trong kho</t>
        </is>
      </c>
      <c r="G60" s="7" t="n"/>
      <c r="H60" s="15" t="n"/>
      <c r="I60" s="14" t="n"/>
      <c r="J60" s="7" t="n"/>
      <c r="K60" s="14" t="n"/>
      <c r="L60" s="7" t="n"/>
      <c r="M60" s="7" t="n"/>
      <c r="N60" s="14" t="n"/>
      <c r="O60" s="7" t="n"/>
    </row>
    <row r="61">
      <c r="A61" s="28" t="inlineStr">
        <is>
          <t>WH-050</t>
        </is>
      </c>
      <c r="B61" s="28" t="n">
        <v>6</v>
      </c>
      <c r="C61" s="29" t="inlineStr">
        <is>
          <t>Hàng hỏng</t>
        </is>
      </c>
      <c r="D61" s="28" t="inlineStr">
        <is>
          <t>Phát sinh</t>
        </is>
      </c>
      <c r="E61" s="29" t="inlineStr">
        <is>
          <t>Sửa / xóa báo cáo hỏng đã duyệt</t>
        </is>
      </c>
      <c r="F61" s="29" t="inlineStr">
        <is>
          <t>Bị chặn</t>
        </is>
      </c>
      <c r="G61" s="7" t="n"/>
      <c r="H61" s="15" t="n"/>
      <c r="I61" s="14" t="n"/>
      <c r="J61" s="7" t="n"/>
      <c r="K61" s="14" t="n"/>
      <c r="L61" s="7" t="n"/>
      <c r="M61" s="7" t="n"/>
      <c r="N61" s="14" t="n"/>
      <c r="O61" s="7" t="n"/>
    </row>
    <row r="62">
      <c r="A62" s="27" t="inlineStr">
        <is>
          <t>BƯỚC 7: TỒN KHO</t>
        </is>
      </c>
    </row>
    <row r="63">
      <c r="A63" s="12" t="inlineStr">
        <is>
          <t>WH-051</t>
        </is>
      </c>
      <c r="B63" s="12" t="n">
        <v>7</v>
      </c>
      <c r="C63" s="10" t="inlineStr">
        <is>
          <t>Tồn kho &amp; báo cáo</t>
        </is>
      </c>
      <c r="D63" s="12" t="inlineStr">
        <is>
          <t>Luồng chính</t>
        </is>
      </c>
      <c r="E63" s="10" t="inlineStr">
        <is>
          <t>Xem tồn theo kho, Số PO, S/N; lọc theo cột</t>
        </is>
      </c>
      <c r="F63" s="10" t="inlineStr">
        <is>
          <t>Hiển thị đúng</t>
        </is>
      </c>
      <c r="G63" s="7" t="n"/>
      <c r="H63" s="15" t="n"/>
      <c r="I63" s="14" t="n"/>
      <c r="J63" s="7" t="n"/>
      <c r="K63" s="14" t="n"/>
      <c r="L63" s="7" t="n"/>
      <c r="M63" s="7" t="n"/>
      <c r="N63" s="14" t="n"/>
      <c r="O63" s="7" t="n"/>
    </row>
    <row r="64">
      <c r="A64" s="12" t="inlineStr">
        <is>
          <t>WH-052</t>
        </is>
      </c>
      <c r="B64" s="12" t="n">
        <v>7</v>
      </c>
      <c r="C64" s="10" t="inlineStr">
        <is>
          <t>Tồn kho &amp; báo cáo</t>
        </is>
      </c>
      <c r="D64" s="12" t="inlineStr">
        <is>
          <t>Luồng chính</t>
        </is>
      </c>
      <c r="E64" s="10" t="inlineStr">
        <is>
          <t>Xem cảnh báo tồn thấp, hàng sắp hết hạn</t>
        </is>
      </c>
      <c r="F64" s="10" t="inlineStr">
        <is>
          <t>Liệt kê đúng sản phẩm</t>
        </is>
      </c>
      <c r="G64" s="7" t="n"/>
      <c r="H64" s="15" t="n"/>
      <c r="I64" s="14" t="n"/>
      <c r="J64" s="7" t="n"/>
      <c r="K64" s="14" t="n"/>
      <c r="L64" s="7" t="n"/>
      <c r="M64" s="7" t="n"/>
      <c r="N64" s="14" t="n"/>
      <c r="O64" s="7" t="n"/>
    </row>
    <row r="65">
      <c r="A65" s="12" t="inlineStr">
        <is>
          <t>WH-053</t>
        </is>
      </c>
      <c r="B65" s="12" t="n">
        <v>7</v>
      </c>
      <c r="C65" s="10" t="inlineStr">
        <is>
          <t>Tồn kho &amp; báo cáo</t>
        </is>
      </c>
      <c r="D65" s="12" t="inlineStr">
        <is>
          <t>Luồng chính</t>
        </is>
      </c>
      <c r="E65" s="10" t="inlineStr">
        <is>
          <t>Thêm cột tùy biến, nhập dữ liệu; xóa cột</t>
        </is>
      </c>
      <c r="F65" s="10" t="inlineStr">
        <is>
          <t>Hiển thị / nhập được; xóa thì dữ liệu cột được dọn</t>
        </is>
      </c>
      <c r="G65" s="7" t="n"/>
      <c r="H65" s="15" t="n"/>
      <c r="I65" s="14" t="n"/>
      <c r="J65" s="7" t="n"/>
      <c r="K65" s="14" t="n"/>
      <c r="L65" s="7" t="n"/>
      <c r="M65" s="7" t="n"/>
      <c r="N65" s="14" t="n"/>
      <c r="O65" s="7" t="n"/>
    </row>
    <row r="66">
      <c r="A66" s="28" t="inlineStr">
        <is>
          <t>WH-054</t>
        </is>
      </c>
      <c r="B66" s="28" t="n">
        <v>7</v>
      </c>
      <c r="C66" s="29" t="inlineStr">
        <is>
          <t>Tồn kho &amp; báo cáo</t>
        </is>
      </c>
      <c r="D66" s="28" t="inlineStr">
        <is>
          <t>Phát sinh</t>
        </is>
      </c>
      <c r="E66" s="29" t="inlineStr">
        <is>
          <t>Tạo cột trùng tên trong cùng tab</t>
        </is>
      </c>
      <c r="F66" s="29" t="inlineStr">
        <is>
          <t>Bị chặn</t>
        </is>
      </c>
      <c r="G66" s="7" t="n"/>
      <c r="H66" s="15" t="n"/>
      <c r="I66" s="14" t="n"/>
      <c r="J66" s="7" t="n"/>
      <c r="K66" s="14" t="n"/>
      <c r="L66" s="7" t="n"/>
      <c r="M66" s="7" t="n"/>
      <c r="N66" s="14" t="n"/>
      <c r="O66" s="7" t="n"/>
    </row>
    <row r="67">
      <c r="A67" s="12" t="inlineStr">
        <is>
          <t>WH-055</t>
        </is>
      </c>
      <c r="B67" s="12" t="n">
        <v>7</v>
      </c>
      <c r="C67" s="10" t="inlineStr">
        <is>
          <t>Tồn kho &amp; báo cáo</t>
        </is>
      </c>
      <c r="D67" s="12" t="inlineStr">
        <is>
          <t>Luồng chính</t>
        </is>
      </c>
      <c r="E67" s="10" t="inlineStr">
        <is>
          <t>Cập nhật S/N hàng loạt cho lô không S/N</t>
        </is>
      </c>
      <c r="F67" s="10" t="inlineStr">
        <is>
          <t>Báo số S/N đã cập nhật</t>
        </is>
      </c>
      <c r="G67" s="7" t="n"/>
      <c r="H67" s="15" t="n"/>
      <c r="I67" s="14" t="n"/>
      <c r="J67" s="7" t="n"/>
      <c r="K67" s="14" t="n"/>
      <c r="L67" s="7" t="n"/>
      <c r="M67" s="7" t="n"/>
      <c r="N67" s="14" t="n"/>
      <c r="O67" s="7" t="n"/>
    </row>
    <row r="68">
      <c r="A68" s="28" t="inlineStr">
        <is>
          <t>WH-056</t>
        </is>
      </c>
      <c r="B68" s="28" t="n">
        <v>7</v>
      </c>
      <c r="C68" s="29" t="inlineStr">
        <is>
          <t>Tồn kho &amp; báo cáo</t>
        </is>
      </c>
      <c r="D68" s="28" t="inlineStr">
        <is>
          <t>Phát sinh</t>
        </is>
      </c>
      <c r="E68" s="29" t="inlineStr">
        <is>
          <t>Cập nhật S/N vượt số tồn hoặc trùng</t>
        </is>
      </c>
      <c r="F68" s="29" t="inlineStr">
        <is>
          <t>Bị chặn</t>
        </is>
      </c>
      <c r="G68" s="7" t="n"/>
      <c r="H68" s="15" t="n"/>
      <c r="I68" s="14" t="n"/>
      <c r="J68" s="7" t="n"/>
      <c r="K68" s="14" t="n"/>
      <c r="L68" s="7" t="n"/>
      <c r="M68" s="7" t="n"/>
      <c r="N68" s="14" t="n"/>
      <c r="O68" s="7" t="n"/>
    </row>
    <row r="69">
      <c r="A69" s="12" t="inlineStr">
        <is>
          <t>WH-057</t>
        </is>
      </c>
      <c r="B69" s="12" t="n">
        <v>7</v>
      </c>
      <c r="C69" s="10" t="inlineStr">
        <is>
          <t>Tồn kho &amp; báo cáo</t>
        </is>
      </c>
      <c r="D69" s="12" t="inlineStr">
        <is>
          <t>Luồng chính</t>
        </is>
      </c>
      <c r="E69" s="10" t="inlineStr">
        <is>
          <t>Xuất Excel danh sách tồn kho</t>
        </is>
      </c>
      <c r="F69" s="10" t="inlineStr">
        <is>
          <t>Mở được, số liệu khớp màn hình</t>
        </is>
      </c>
      <c r="G69" s="7" t="n"/>
      <c r="H69" s="15" t="n"/>
      <c r="I69" s="14" t="n"/>
      <c r="J69" s="7" t="n"/>
      <c r="K69" s="14" t="n"/>
      <c r="L69" s="7" t="n"/>
      <c r="M69" s="7" t="n"/>
      <c r="N69" s="14" t="n"/>
      <c r="O69" s="7" t="n"/>
    </row>
    <row r="70">
      <c r="A70" s="12" t="inlineStr">
        <is>
          <t>WH-058</t>
        </is>
      </c>
      <c r="B70" s="12" t="n">
        <v>7</v>
      </c>
      <c r="C70" s="10" t="inlineStr">
        <is>
          <t>Tồn kho &amp; báo cáo</t>
        </is>
      </c>
      <c r="D70" s="12" t="inlineStr">
        <is>
          <t>Luồng chính</t>
        </is>
      </c>
      <c r="E70" s="10" t="inlineStr">
        <is>
          <t>Sau 1 phiếu nhập, 1 phiếu xuất, 1 phiếu chuyển, 1 báo hỏng: đối chiếu tồn của sản phẩm đó</t>
        </is>
      </c>
      <c r="F70" s="10" t="inlineStr">
        <is>
          <t>Tồn thay đổi đúng bằng số lượng các phiếu đã duyệt</t>
        </is>
      </c>
      <c r="G70" s="7" t="n"/>
      <c r="H70" s="15" t="n"/>
      <c r="I70" s="14" t="n"/>
      <c r="J70" s="7" t="n"/>
      <c r="K70" s="14" t="n"/>
      <c r="L70" s="7" t="n"/>
      <c r="M70" s="7" t="n"/>
      <c r="N70" s="14" t="n"/>
      <c r="O70" s="7" t="n"/>
    </row>
  </sheetData>
  <autoFilter ref="A5:O70"/>
  <mergeCells count="10">
    <mergeCell ref="A12:O12"/>
    <mergeCell ref="A24:O24"/>
    <mergeCell ref="A2:O2"/>
    <mergeCell ref="A36:O36"/>
    <mergeCell ref="A1:O1"/>
    <mergeCell ref="A58:O58"/>
    <mergeCell ref="A6:O6"/>
    <mergeCell ref="A62:O62"/>
    <mergeCell ref="A3:O3"/>
    <mergeCell ref="A53:O5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O38"/>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KẾ TOÁN – TÀI CHÍNH</t>
        </is>
      </c>
    </row>
    <row r="2" ht="16" customHeight="1">
      <c r="A2" s="21" t="inlineStr">
        <is>
          <t>Tài khoản test: Finance Team (thao tác), BOD (xóa dòng tổng doanh số, xem báo cáo tài chính)</t>
        </is>
      </c>
    </row>
    <row r="3" ht="48" customHeight="1">
      <c r="A3" s="5" t="inlineStr">
        <is>
          <t>Kế toán giữ các "cổng tiền" của đơn hàng: chưa xác nhận đã thu đợt trước đặt hàng thì Mua hàng không chốt được PO; chưa xuất hóa đơn chính thức thì Kho không xuất được hàng. Ngoài ra Kế toán theo dõi công nợ khách hàng và rà soát tổng doanh số theo Hãng.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THIẾT LẬP TÀI CHÍNH</t>
        </is>
      </c>
    </row>
    <row r="7">
      <c r="A7" s="12" t="inlineStr">
        <is>
          <t>ACC-001</t>
        </is>
      </c>
      <c r="B7" s="12" t="n">
        <v>1</v>
      </c>
      <c r="C7" s="10" t="inlineStr">
        <is>
          <t>Thiết lập</t>
        </is>
      </c>
      <c r="D7" s="12" t="inlineStr">
        <is>
          <t>Luồng chính</t>
        </is>
      </c>
      <c r="E7" s="10" t="inlineStr">
        <is>
          <t>Bật / tắt tiền tệ; thử tắt VND</t>
        </is>
      </c>
      <c r="F7" s="10" t="inlineStr">
        <is>
          <t>Bật tắt được; VND: bị chặn "Không thể tắt tiền tệ cơ sở"</t>
        </is>
      </c>
      <c r="G7" s="7" t="n"/>
      <c r="H7" s="15" t="n"/>
      <c r="I7" s="14" t="n"/>
      <c r="J7" s="7" t="n"/>
      <c r="K7" s="14" t="n"/>
      <c r="L7" s="7" t="n"/>
      <c r="M7" s="7" t="n"/>
      <c r="N7" s="14" t="n"/>
      <c r="O7" s="7" t="n"/>
    </row>
    <row r="8">
      <c r="A8" s="12" t="inlineStr">
        <is>
          <t>ACC-002</t>
        </is>
      </c>
      <c r="B8" s="12" t="n">
        <v>1</v>
      </c>
      <c r="C8" s="10" t="inlineStr">
        <is>
          <t>Thiết lập</t>
        </is>
      </c>
      <c r="D8" s="12" t="inlineStr">
        <is>
          <t>Luồng chính</t>
        </is>
      </c>
      <c r="E8" s="10" t="inlineStr">
        <is>
          <t>Nhập tỷ giá tay và lấy tỷ giá hôm nay</t>
        </is>
      </c>
      <c r="F8" s="10" t="inlineStr">
        <is>
          <t>Báo giá / đơn mới dùng đúng tỷ giá ngày</t>
        </is>
      </c>
      <c r="G8" s="7" t="n"/>
      <c r="H8" s="15" t="n"/>
      <c r="I8" s="14" t="n"/>
      <c r="J8" s="7" t="n"/>
      <c r="K8" s="14" t="n"/>
      <c r="L8" s="7" t="n"/>
      <c r="M8" s="7" t="n"/>
      <c r="N8" s="14" t="n"/>
      <c r="O8" s="7" t="n"/>
    </row>
    <row r="9">
      <c r="A9" s="12" t="inlineStr">
        <is>
          <t>ACC-003</t>
        </is>
      </c>
      <c r="B9" s="12" t="n">
        <v>1</v>
      </c>
      <c r="C9" s="10" t="inlineStr">
        <is>
          <t>Thiết lập</t>
        </is>
      </c>
      <c r="D9" s="12" t="inlineStr">
        <is>
          <t>Luồng chính</t>
        </is>
      </c>
      <c r="E9" s="10" t="inlineStr">
        <is>
          <t>Tạo mẫu tiến độ thanh toán, bật / tắt, đặt ngưỡng</t>
        </is>
      </c>
      <c r="F9" s="10" t="inlineStr">
        <is>
          <t>SO vượt ngưỡng bị áp quy tắc thu trước</t>
        </is>
      </c>
      <c r="G9" s="7" t="n"/>
      <c r="H9" s="15" t="n"/>
      <c r="I9" s="14" t="n"/>
      <c r="J9" s="7" t="n"/>
      <c r="K9" s="14" t="n"/>
      <c r="L9" s="7" t="n"/>
      <c r="M9" s="7" t="n"/>
      <c r="N9" s="14" t="n"/>
      <c r="O9" s="7" t="n"/>
    </row>
    <row r="10">
      <c r="A10" s="27" t="inlineStr">
        <is>
          <t>BƯỚC 2: XÁC NHẬN THANH TOÁN (UNC)</t>
        </is>
      </c>
    </row>
    <row r="11">
      <c r="A11" s="12" t="inlineStr">
        <is>
          <t>ACC-004</t>
        </is>
      </c>
      <c r="B11" s="12" t="n">
        <v>2</v>
      </c>
      <c r="C11" s="10" t="inlineStr">
        <is>
          <t>Xác nhận UNC</t>
        </is>
      </c>
      <c r="D11" s="12" t="inlineStr">
        <is>
          <t>Luồng chính</t>
        </is>
      </c>
      <c r="E11" s="10" t="inlineStr">
        <is>
          <t>Sales upload UNC → KT xác nhận</t>
        </is>
      </c>
      <c r="F11" s="10" t="inlineStr">
        <is>
          <t>Đợt "Đã thanh toán", giao dịch thu tự sinh, công nợ giảm</t>
        </is>
      </c>
      <c r="G11" s="7" t="n"/>
      <c r="H11" s="15" t="n"/>
      <c r="I11" s="14" t="n"/>
      <c r="J11" s="7" t="n"/>
      <c r="K11" s="14" t="n"/>
      <c r="L11" s="7" t="n"/>
      <c r="M11" s="7" t="n"/>
      <c r="N11" s="14" t="n"/>
      <c r="O11" s="7" t="n"/>
    </row>
    <row r="12">
      <c r="A12" s="12" t="inlineStr">
        <is>
          <t>ACC-005</t>
        </is>
      </c>
      <c r="B12" s="12" t="n">
        <v>2</v>
      </c>
      <c r="C12" s="10" t="inlineStr">
        <is>
          <t>Xác nhận UNC</t>
        </is>
      </c>
      <c r="D12" s="12" t="inlineStr">
        <is>
          <t>Luồng chính</t>
        </is>
      </c>
      <c r="E12" s="10" t="inlineStr">
        <is>
          <t>Xác nhận đợt "trước đặt hàng" / "trước xuất hàng"</t>
        </is>
      </c>
      <c r="F12" s="10" t="inlineStr">
        <is>
          <t>PO / xuất kho của đơn được mở khóa, Sales nhận thông báo</t>
        </is>
      </c>
      <c r="G12" s="7" t="n"/>
      <c r="H12" s="15" t="n"/>
      <c r="I12" s="14" t="n"/>
      <c r="J12" s="7" t="n"/>
      <c r="K12" s="14" t="n"/>
      <c r="L12" s="7" t="n"/>
      <c r="M12" s="7" t="n"/>
      <c r="N12" s="14" t="n"/>
      <c r="O12" s="7" t="n"/>
    </row>
    <row r="13">
      <c r="A13" s="12" t="inlineStr">
        <is>
          <t>ACC-006</t>
        </is>
      </c>
      <c r="B13" s="12" t="n">
        <v>2</v>
      </c>
      <c r="C13" s="10" t="inlineStr">
        <is>
          <t>Xác nhận UNC</t>
        </is>
      </c>
      <c r="D13" s="12" t="inlineStr">
        <is>
          <t>Luồng chính</t>
        </is>
      </c>
      <c r="E13" s="10" t="inlineStr">
        <is>
          <t>KT ghi nhận thanh toán trực tiếp tại đơn</t>
        </is>
      </c>
      <c r="F13" s="10" t="inlineStr">
        <is>
          <t>Kết quả như xác nhận UNC</t>
        </is>
      </c>
      <c r="G13" s="7" t="n"/>
      <c r="H13" s="15" t="n"/>
      <c r="I13" s="14" t="n"/>
      <c r="J13" s="7" t="n"/>
      <c r="K13" s="14" t="n"/>
      <c r="L13" s="7" t="n"/>
      <c r="M13" s="7" t="n"/>
      <c r="N13" s="14" t="n"/>
      <c r="O13" s="7" t="n"/>
    </row>
    <row r="14">
      <c r="A14" s="28" t="inlineStr">
        <is>
          <t>ACC-007</t>
        </is>
      </c>
      <c r="B14" s="28" t="n">
        <v>2</v>
      </c>
      <c r="C14" s="29" t="inlineStr">
        <is>
          <t>Xác nhận UNC</t>
        </is>
      </c>
      <c r="D14" s="28" t="inlineStr">
        <is>
          <t>Phát sinh</t>
        </is>
      </c>
      <c r="E14" s="29" t="inlineStr">
        <is>
          <t>Xác nhận khi chưa có UNC</t>
        </is>
      </c>
      <c r="F14" s="29" t="inlineStr">
        <is>
          <t>Bị chặn "Bắt buộc phải Upload UNC…"</t>
        </is>
      </c>
      <c r="G14" s="7" t="n"/>
      <c r="H14" s="15" t="n"/>
      <c r="I14" s="14" t="n"/>
      <c r="J14" s="7" t="n"/>
      <c r="K14" s="14" t="n"/>
      <c r="L14" s="7" t="n"/>
      <c r="M14" s="7" t="n"/>
      <c r="N14" s="14" t="n"/>
      <c r="O14" s="7" t="n"/>
    </row>
    <row r="15">
      <c r="A15" s="28" t="inlineStr">
        <is>
          <t>ACC-008</t>
        </is>
      </c>
      <c r="B15" s="28" t="n">
        <v>2</v>
      </c>
      <c r="C15" s="29" t="inlineStr">
        <is>
          <t>Xác nhận UNC</t>
        </is>
      </c>
      <c r="D15" s="28" t="inlineStr">
        <is>
          <t>Phát sinh</t>
        </is>
      </c>
      <c r="E15" s="29" t="inlineStr">
        <is>
          <t>UNC sai số tiền → Từ chối kèm lý do</t>
        </is>
      </c>
      <c r="F15" s="29" t="inlineStr">
        <is>
          <t>Sales nhận thông báo, công nợ không đổi</t>
        </is>
      </c>
      <c r="G15" s="7" t="n"/>
      <c r="H15" s="15" t="n"/>
      <c r="I15" s="14" t="n"/>
      <c r="J15" s="7" t="n"/>
      <c r="K15" s="14" t="n"/>
      <c r="L15" s="7" t="n"/>
      <c r="M15" s="7" t="n"/>
      <c r="N15" s="14" t="n"/>
      <c r="O15" s="7" t="n"/>
    </row>
    <row r="16">
      <c r="A16" s="28" t="inlineStr">
        <is>
          <t>ACC-009</t>
        </is>
      </c>
      <c r="B16" s="28" t="n">
        <v>2</v>
      </c>
      <c r="C16" s="29" t="inlineStr">
        <is>
          <t>Xác nhận UNC</t>
        </is>
      </c>
      <c r="D16" s="28" t="inlineStr">
        <is>
          <t>Phát sinh</t>
        </is>
      </c>
      <c r="E16" s="29" t="inlineStr">
        <is>
          <t>Khách trả thiếu / trả gộp nhiều đợt</t>
        </is>
      </c>
      <c r="F16" s="29" t="inlineStr">
        <is>
          <t>Phân bổ đúng, đợt còn thiếu vẫn mở</t>
        </is>
      </c>
      <c r="G16" s="7" t="n"/>
      <c r="H16" s="15" t="n"/>
      <c r="I16" s="14" t="n"/>
      <c r="J16" s="7" t="n"/>
      <c r="K16" s="14" t="n"/>
      <c r="L16" s="7" t="n"/>
      <c r="M16" s="7" t="n"/>
      <c r="N16" s="14" t="n"/>
      <c r="O16" s="7" t="n"/>
    </row>
    <row r="17">
      <c r="A17" s="28" t="inlineStr">
        <is>
          <t>ACC-010</t>
        </is>
      </c>
      <c r="B17" s="28" t="n">
        <v>2</v>
      </c>
      <c r="C17" s="29" t="inlineStr">
        <is>
          <t>Xác nhận UNC</t>
        </is>
      </c>
      <c r="D17" s="28" t="inlineStr">
        <is>
          <t>Phát sinh</t>
        </is>
      </c>
      <c r="E17" s="29" t="inlineStr">
        <is>
          <t>Tài khoản không phải KT / Admin xác nhận hoặc từ chối</t>
        </is>
      </c>
      <c r="F17" s="29" t="inlineStr">
        <is>
          <t>Bị chặn</t>
        </is>
      </c>
      <c r="G17" s="7" t="n"/>
      <c r="H17" s="15" t="n"/>
      <c r="I17" s="14" t="n"/>
      <c r="J17" s="7" t="n"/>
      <c r="K17" s="14" t="n"/>
      <c r="L17" s="7" t="n"/>
      <c r="M17" s="7" t="n"/>
      <c r="N17" s="14" t="n"/>
      <c r="O17" s="7" t="n"/>
    </row>
    <row r="18">
      <c r="A18" s="28" t="inlineStr">
        <is>
          <t>ACC-011</t>
        </is>
      </c>
      <c r="B18" s="28" t="n">
        <v>2</v>
      </c>
      <c r="C18" s="29" t="inlineStr">
        <is>
          <t>Xác nhận UNC</t>
        </is>
      </c>
      <c r="D18" s="28" t="inlineStr">
        <is>
          <t>Phát sinh</t>
        </is>
      </c>
      <c r="E18" s="29" t="inlineStr">
        <is>
          <t>Thanh toán ngoại tệ</t>
        </is>
      </c>
      <c r="F18" s="29" t="inlineStr">
        <is>
          <t>Chênh lệch tỷ giá được ghi nhận</t>
        </is>
      </c>
      <c r="G18" s="7" t="n"/>
      <c r="H18" s="15" t="n"/>
      <c r="I18" s="14" t="n"/>
      <c r="J18" s="7" t="n"/>
      <c r="K18" s="14" t="n"/>
      <c r="L18" s="7" t="n"/>
      <c r="M18" s="7" t="n"/>
      <c r="N18" s="14" t="n"/>
      <c r="O18" s="7" t="n"/>
    </row>
    <row r="19">
      <c r="A19" s="27" t="inlineStr">
        <is>
          <t>BƯỚC 3: XUẤT HÓA ĐƠN</t>
        </is>
      </c>
    </row>
    <row r="20">
      <c r="A20" s="12" t="inlineStr">
        <is>
          <t>ACC-012</t>
        </is>
      </c>
      <c r="B20" s="12" t="n">
        <v>3</v>
      </c>
      <c r="C20" s="10" t="inlineStr">
        <is>
          <t>Xuất hóa đơn</t>
        </is>
      </c>
      <c r="D20" s="12" t="inlineStr">
        <is>
          <t>Luồng chính</t>
        </is>
      </c>
      <c r="E20" s="10" t="inlineStr">
        <is>
          <t>Yêu cầu cần HĐ nháp: upload nháp → Sales xác nhận → xuất chính thức</t>
        </is>
      </c>
      <c r="F20" s="10" t="inlineStr">
        <is>
          <t>"Đã hoàn tất xuất HĐ", Kho nhận thông báo xuất hàng</t>
        </is>
      </c>
      <c r="G20" s="7" t="n"/>
      <c r="H20" s="15" t="n"/>
      <c r="I20" s="14" t="n"/>
      <c r="J20" s="7" t="n"/>
      <c r="K20" s="14" t="n"/>
      <c r="L20" s="7" t="n"/>
      <c r="M20" s="7" t="n"/>
      <c r="N20" s="14" t="n"/>
      <c r="O20" s="7" t="n"/>
    </row>
    <row r="21">
      <c r="A21" s="12" t="inlineStr">
        <is>
          <t>ACC-013</t>
        </is>
      </c>
      <c r="B21" s="12" t="n">
        <v>3</v>
      </c>
      <c r="C21" s="10" t="inlineStr">
        <is>
          <t>Xuất hóa đơn</t>
        </is>
      </c>
      <c r="D21" s="12" t="inlineStr">
        <is>
          <t>Luồng chính</t>
        </is>
      </c>
      <c r="E21" s="10" t="inlineStr">
        <is>
          <t>Yêu cầu xuất trực tiếp: đính kèm HĐ</t>
        </is>
      </c>
      <c r="F21" s="10" t="inlineStr">
        <is>
          <t>Hoàn tất ngay, không qua Sales duyệt</t>
        </is>
      </c>
      <c r="G21" s="7" t="n"/>
      <c r="H21" s="15" t="n"/>
      <c r="I21" s="14" t="n"/>
      <c r="J21" s="7" t="n"/>
      <c r="K21" s="14" t="n"/>
      <c r="L21" s="7" t="n"/>
      <c r="M21" s="7" t="n"/>
      <c r="N21" s="14" t="n"/>
      <c r="O21" s="7" t="n"/>
    </row>
    <row r="22">
      <c r="A22" s="12" t="inlineStr">
        <is>
          <t>ACC-014</t>
        </is>
      </c>
      <c r="B22" s="12" t="n">
        <v>3</v>
      </c>
      <c r="C22" s="10" t="inlineStr">
        <is>
          <t>Xuất hóa đơn</t>
        </is>
      </c>
      <c r="D22" s="12" t="inlineStr">
        <is>
          <t>Luồng chính</t>
        </is>
      </c>
      <c r="E22" s="10" t="inlineStr">
        <is>
          <t>Xuất HĐ theo nhiều đợt đến khi đủ</t>
        </is>
      </c>
      <c r="F22" s="10" t="inlineStr">
        <is>
          <t>Báo "Tất cả các sản phẩm … đã được xuất hóa đơn đầy đủ"</t>
        </is>
      </c>
      <c r="G22" s="7" t="n"/>
      <c r="H22" s="15" t="n"/>
      <c r="I22" s="14" t="n"/>
      <c r="J22" s="7" t="n"/>
      <c r="K22" s="14" t="n"/>
      <c r="L22" s="7" t="n"/>
      <c r="M22" s="7" t="n"/>
      <c r="N22" s="14" t="n"/>
      <c r="O22" s="7" t="n"/>
    </row>
    <row r="23">
      <c r="A23" s="28" t="inlineStr">
        <is>
          <t>ACC-015</t>
        </is>
      </c>
      <c r="B23" s="28" t="n">
        <v>3</v>
      </c>
      <c r="C23" s="29" t="inlineStr">
        <is>
          <t>Xuất hóa đơn</t>
        </is>
      </c>
      <c r="D23" s="28" t="inlineStr">
        <is>
          <t>Phát sinh</t>
        </is>
      </c>
      <c r="E23" s="29" t="inlineStr">
        <is>
          <t>Sales báo HĐ nháp sai → KT import lại</t>
        </is>
      </c>
      <c r="F23" s="29" t="inlineStr">
        <is>
          <t>Lịch sử giữ cả v1, v2</t>
        </is>
      </c>
      <c r="G23" s="7" t="n"/>
      <c r="H23" s="15" t="n"/>
      <c r="I23" s="14" t="n"/>
      <c r="J23" s="7" t="n"/>
      <c r="K23" s="14" t="n"/>
      <c r="L23" s="7" t="n"/>
      <c r="M23" s="7" t="n"/>
      <c r="N23" s="14" t="n"/>
      <c r="O23" s="7" t="n"/>
    </row>
    <row r="24">
      <c r="A24" s="28" t="inlineStr">
        <is>
          <t>ACC-016</t>
        </is>
      </c>
      <c r="B24" s="28" t="n">
        <v>3</v>
      </c>
      <c r="C24" s="29" t="inlineStr">
        <is>
          <t>Xuất hóa đơn</t>
        </is>
      </c>
      <c r="D24" s="28" t="inlineStr">
        <is>
          <t>Phát sinh</t>
        </is>
      </c>
      <c r="E24" s="29" t="inlineStr">
        <is>
          <t>Sales xác nhận HĐ không ở trạng thái chờ kiểm tra</t>
        </is>
      </c>
      <c r="F24" s="29" t="inlineStr">
        <is>
          <t>Bị chặn</t>
        </is>
      </c>
      <c r="G24" s="7" t="n"/>
      <c r="H24" s="15" t="n"/>
      <c r="I24" s="14" t="n"/>
      <c r="J24" s="7" t="n"/>
      <c r="K24" s="14" t="n"/>
      <c r="L24" s="7" t="n"/>
      <c r="M24" s="7" t="n"/>
      <c r="N24" s="14" t="n"/>
      <c r="O24" s="7" t="n"/>
    </row>
    <row r="25">
      <c r="A25" s="28" t="inlineStr">
        <is>
          <t>ACC-017</t>
        </is>
      </c>
      <c r="B25" s="28" t="n">
        <v>3</v>
      </c>
      <c r="C25" s="29" t="inlineStr">
        <is>
          <t>Xuất hóa đơn</t>
        </is>
      </c>
      <c r="D25" s="28" t="inlineStr">
        <is>
          <t>Phát sinh</t>
        </is>
      </c>
      <c r="E25" s="29" t="inlineStr">
        <is>
          <t>Chuyển trạng thái về "Chưa xuất HĐ"</t>
        </is>
      </c>
      <c r="F25" s="29" t="inlineStr">
        <is>
          <t>Ghi nhật ký, đơn quay lại bước chờ</t>
        </is>
      </c>
      <c r="G25" s="7" t="n"/>
      <c r="H25" s="15" t="n"/>
      <c r="I25" s="14" t="n"/>
      <c r="J25" s="7" t="n"/>
      <c r="K25" s="14" t="n"/>
      <c r="L25" s="7" t="n"/>
      <c r="M25" s="7" t="n"/>
      <c r="N25" s="14" t="n"/>
      <c r="O25" s="7" t="n"/>
    </row>
    <row r="26">
      <c r="A26" s="28" t="inlineStr">
        <is>
          <t>ACC-018</t>
        </is>
      </c>
      <c r="B26" s="28" t="n">
        <v>3</v>
      </c>
      <c r="C26" s="29" t="inlineStr">
        <is>
          <t>Xuất hóa đơn</t>
        </is>
      </c>
      <c r="D26" s="28" t="inlineStr">
        <is>
          <t>Phát sinh</t>
        </is>
      </c>
      <c r="E26" s="29" t="inlineStr">
        <is>
          <t>Hủy yêu cầu đã xử lý</t>
        </is>
      </c>
      <c r="F26" s="29" t="inlineStr">
        <is>
          <t>Bị chặn</t>
        </is>
      </c>
      <c r="G26" s="7" t="n"/>
      <c r="H26" s="15" t="n"/>
      <c r="I26" s="14" t="n"/>
      <c r="J26" s="7" t="n"/>
      <c r="K26" s="14" t="n"/>
      <c r="L26" s="7" t="n"/>
      <c r="M26" s="7" t="n"/>
      <c r="N26" s="14" t="n"/>
      <c r="O26" s="7" t="n"/>
    </row>
    <row r="27">
      <c r="A27" s="28" t="inlineStr">
        <is>
          <t>ACC-019</t>
        </is>
      </c>
      <c r="B27" s="28" t="n">
        <v>3</v>
      </c>
      <c r="C27" s="29" t="inlineStr">
        <is>
          <t>Xuất hóa đơn</t>
        </is>
      </c>
      <c r="D27" s="28" t="inlineStr">
        <is>
          <t>Phát sinh</t>
        </is>
      </c>
      <c r="E27" s="29" t="inlineStr">
        <is>
          <t>Người không phải KT / Admin upload HĐ</t>
        </is>
      </c>
      <c r="F27" s="29" t="inlineStr">
        <is>
          <t>Bị chặn</t>
        </is>
      </c>
      <c r="G27" s="7" t="n"/>
      <c r="H27" s="15" t="n"/>
      <c r="I27" s="14" t="n"/>
      <c r="J27" s="7" t="n"/>
      <c r="K27" s="14" t="n"/>
      <c r="L27" s="7" t="n"/>
      <c r="M27" s="7" t="n"/>
      <c r="N27" s="14" t="n"/>
      <c r="O27" s="7" t="n"/>
    </row>
    <row r="28">
      <c r="A28" s="27" t="inlineStr">
        <is>
          <t>BƯỚC 4: THEO DÕI CÔNG NỢ KHÁCH HÀNG</t>
        </is>
      </c>
    </row>
    <row r="29">
      <c r="A29" s="12" t="inlineStr">
        <is>
          <t>ACC-020</t>
        </is>
      </c>
      <c r="B29" s="12" t="n">
        <v>4</v>
      </c>
      <c r="C29" s="10" t="inlineStr">
        <is>
          <t>Công nợ</t>
        </is>
      </c>
      <c r="D29" s="12" t="inlineStr">
        <is>
          <t>Luồng chính</t>
        </is>
      </c>
      <c r="E29" s="10" t="inlineStr">
        <is>
          <t>Xem công nợ khách</t>
        </is>
      </c>
      <c r="F29" s="10" t="inlineStr">
        <is>
          <t>Chỉ gồm đơn đã duyệt / đang giao / hoàn thành; tổng khớp chi tiết</t>
        </is>
      </c>
      <c r="G29" s="7" t="n"/>
      <c r="H29" s="15" t="n"/>
      <c r="I29" s="14" t="n"/>
      <c r="J29" s="7" t="n"/>
      <c r="K29" s="14" t="n"/>
      <c r="L29" s="7" t="n"/>
      <c r="M29" s="7" t="n"/>
      <c r="N29" s="14" t="n"/>
      <c r="O29" s="7" t="n"/>
    </row>
    <row r="30">
      <c r="A30" s="12" t="inlineStr">
        <is>
          <t>ACC-021</t>
        </is>
      </c>
      <c r="B30" s="12" t="n">
        <v>4</v>
      </c>
      <c r="C30" s="10" t="inlineStr">
        <is>
          <t>Công nợ</t>
        </is>
      </c>
      <c r="D30" s="12" t="inlineStr">
        <is>
          <t>Luồng chính</t>
        </is>
      </c>
      <c r="E30" s="10" t="inlineStr">
        <is>
          <t>Báo cáo tuổi nợ khách hàng</t>
        </is>
      </c>
      <c r="F30" s="10" t="inlineStr">
        <is>
          <t>Chia đúng nhóm ngày quá hạn</t>
        </is>
      </c>
      <c r="G30" s="7" t="n"/>
      <c r="H30" s="15" t="n"/>
      <c r="I30" s="14" t="n"/>
      <c r="J30" s="7" t="n"/>
      <c r="K30" s="14" t="n"/>
      <c r="L30" s="7" t="n"/>
      <c r="M30" s="7" t="n"/>
      <c r="N30" s="14" t="n"/>
      <c r="O30" s="7" t="n"/>
    </row>
    <row r="31">
      <c r="A31" s="12" t="inlineStr">
        <is>
          <t>ACC-022</t>
        </is>
      </c>
      <c r="B31" s="12" t="n">
        <v>4</v>
      </c>
      <c r="C31" s="10" t="inlineStr">
        <is>
          <t>Công nợ</t>
        </is>
      </c>
      <c r="D31" s="12" t="inlineStr">
        <is>
          <t>Luồng chính</t>
        </is>
      </c>
      <c r="E31" s="10" t="inlineStr">
        <is>
          <t>Xuất sao kê công nợ khách theo kỳ</t>
        </is>
      </c>
      <c r="F31" s="10" t="inlineStr">
        <is>
          <t>Đúng tiêu đề, MST, kỳ, số dư</t>
        </is>
      </c>
      <c r="G31" s="7" t="n"/>
      <c r="H31" s="15" t="n"/>
      <c r="I31" s="14" t="n"/>
      <c r="J31" s="7" t="n"/>
      <c r="K31" s="14" t="n"/>
      <c r="L31" s="7" t="n"/>
      <c r="M31" s="7" t="n"/>
      <c r="N31" s="14" t="n"/>
      <c r="O31" s="7" t="n"/>
    </row>
    <row r="32">
      <c r="A32" s="28" t="inlineStr">
        <is>
          <t>ACC-023</t>
        </is>
      </c>
      <c r="B32" s="28" t="n">
        <v>4</v>
      </c>
      <c r="C32" s="29" t="inlineStr">
        <is>
          <t>Công nợ</t>
        </is>
      </c>
      <c r="D32" s="28" t="inlineStr">
        <is>
          <t>Phát sinh</t>
        </is>
      </c>
      <c r="E32" s="29" t="inlineStr">
        <is>
          <t>Nhập số tiền 0, âm, hoặc lớn hơn công nợ còn lại</t>
        </is>
      </c>
      <c r="F32" s="29" t="inlineStr">
        <is>
          <t>Bị chặn</t>
        </is>
      </c>
      <c r="G32" s="7" t="n"/>
      <c r="H32" s="15" t="n"/>
      <c r="I32" s="14" t="n"/>
      <c r="J32" s="7" t="n"/>
      <c r="K32" s="14" t="n"/>
      <c r="L32" s="7" t="n"/>
      <c r="M32" s="7" t="n"/>
      <c r="N32" s="14" t="n"/>
      <c r="O32" s="7" t="n"/>
    </row>
    <row r="33">
      <c r="A33" s="28" t="inlineStr">
        <is>
          <t>ACC-024</t>
        </is>
      </c>
      <c r="B33" s="28" t="n">
        <v>4</v>
      </c>
      <c r="C33" s="29" t="inlineStr">
        <is>
          <t>Công nợ</t>
        </is>
      </c>
      <c r="D33" s="28" t="inlineStr">
        <is>
          <t>Phát sinh</t>
        </is>
      </c>
      <c r="E33" s="29" t="inlineStr">
        <is>
          <t>Bỏ trống ngày / phương thức thanh toán</t>
        </is>
      </c>
      <c r="F33" s="29" t="inlineStr">
        <is>
          <t>Báo bắt buộc</t>
        </is>
      </c>
      <c r="G33" s="7" t="n"/>
      <c r="H33" s="15" t="n"/>
      <c r="I33" s="14" t="n"/>
      <c r="J33" s="7" t="n"/>
      <c r="K33" s="14" t="n"/>
      <c r="L33" s="7" t="n"/>
      <c r="M33" s="7" t="n"/>
      <c r="N33" s="14" t="n"/>
      <c r="O33" s="7" t="n"/>
    </row>
    <row r="34">
      <c r="A34" s="28" t="inlineStr">
        <is>
          <t>ACC-025</t>
        </is>
      </c>
      <c r="B34" s="28" t="n">
        <v>4</v>
      </c>
      <c r="C34" s="29" t="inlineStr">
        <is>
          <t>Công nợ</t>
        </is>
      </c>
      <c r="D34" s="28" t="inlineStr">
        <is>
          <t>Phát sinh</t>
        </is>
      </c>
      <c r="E34" s="29" t="inlineStr">
        <is>
          <t>Ghi thu từ màn công nợ cho đơn có tiến độ thanh toán</t>
        </is>
      </c>
      <c r="F34" s="29" t="inlineStr">
        <is>
          <t>Hướng dẫn gửi UNC tại chi tiết đơn</t>
        </is>
      </c>
      <c r="G34" s="7" t="n"/>
      <c r="H34" s="15" t="n"/>
      <c r="I34" s="14" t="n"/>
      <c r="J34" s="7" t="n"/>
      <c r="K34" s="14" t="n"/>
      <c r="L34" s="7" t="n"/>
      <c r="M34" s="7" t="n"/>
      <c r="N34" s="14" t="n"/>
      <c r="O34" s="7" t="n"/>
    </row>
    <row r="35">
      <c r="A35" s="28" t="inlineStr">
        <is>
          <t>ACC-026</t>
        </is>
      </c>
      <c r="B35" s="28" t="n">
        <v>4</v>
      </c>
      <c r="C35" s="29" t="inlineStr">
        <is>
          <t>Công nợ</t>
        </is>
      </c>
      <c r="D35" s="28" t="inlineStr">
        <is>
          <t>Phát sinh</t>
        </is>
      </c>
      <c r="E35" s="29" t="inlineStr">
        <is>
          <t>Xóa bản ghi thanh toán</t>
        </is>
      </c>
      <c r="F35" s="29" t="inlineStr">
        <is>
          <t>Công nợ tăng lại đúng số tiền</t>
        </is>
      </c>
      <c r="G35" s="7" t="n"/>
      <c r="H35" s="15" t="n"/>
      <c r="I35" s="14" t="n"/>
      <c r="J35" s="7" t="n"/>
      <c r="K35" s="14" t="n"/>
      <c r="L35" s="7" t="n"/>
      <c r="M35" s="7" t="n"/>
      <c r="N35" s="14" t="n"/>
      <c r="O35" s="7" t="n"/>
    </row>
    <row r="36">
      <c r="A36" s="27" t="inlineStr">
        <is>
          <t>BƯỚC 5: TỔNG DOANH SỐ</t>
        </is>
      </c>
    </row>
    <row r="37">
      <c r="A37" s="12" t="inlineStr">
        <is>
          <t>ACC-027</t>
        </is>
      </c>
      <c r="B37" s="12" t="n">
        <v>5</v>
      </c>
      <c r="C37" s="10" t="inlineStr">
        <is>
          <t>Tổng doanh số</t>
        </is>
      </c>
      <c r="D37" s="12" t="inlineStr">
        <is>
          <t>Luồng chính</t>
        </is>
      </c>
      <c r="E37" s="10" t="inlineStr">
        <is>
          <t>Đồng bộ dòng mới từ PO; đồng bộ lại lần 2</t>
        </is>
      </c>
      <c r="F37" s="10" t="inlineStr">
        <is>
          <t>Báo số dòng thêm; lần 2 báo "Không có dòng mới"</t>
        </is>
      </c>
      <c r="G37" s="7" t="n"/>
      <c r="H37" s="15" t="n"/>
      <c r="I37" s="14" t="n"/>
      <c r="J37" s="7" t="n"/>
      <c r="K37" s="14" t="n"/>
      <c r="L37" s="7" t="n"/>
      <c r="M37" s="7" t="n"/>
      <c r="N37" s="14" t="n"/>
      <c r="O37" s="7" t="n"/>
    </row>
    <row r="38">
      <c r="A38" s="28" t="inlineStr">
        <is>
          <t>ACC-028</t>
        </is>
      </c>
      <c r="B38" s="28" t="n">
        <v>5</v>
      </c>
      <c r="C38" s="29" t="inlineStr">
        <is>
          <t>Tổng doanh số</t>
        </is>
      </c>
      <c r="D38" s="28" t="inlineStr">
        <is>
          <t>Phát sinh</t>
        </is>
      </c>
      <c r="E38" s="29" t="inlineStr">
        <is>
          <t>Sửa ô không cho phép; xóa dòng bằng tài khoản không phải BOD</t>
        </is>
      </c>
      <c r="F38" s="29" t="inlineStr">
        <is>
          <t>Bị chặn</t>
        </is>
      </c>
      <c r="G38" s="7" t="n"/>
      <c r="H38" s="15" t="n"/>
      <c r="I38" s="14" t="n"/>
      <c r="J38" s="7" t="n"/>
      <c r="K38" s="14" t="n"/>
      <c r="L38" s="7" t="n"/>
      <c r="M38" s="7" t="n"/>
      <c r="N38" s="14" t="n"/>
      <c r="O38" s="7" t="n"/>
    </row>
  </sheetData>
  <autoFilter ref="A5:O38"/>
  <mergeCells count="8">
    <mergeCell ref="A2:O2"/>
    <mergeCell ref="A10:O10"/>
    <mergeCell ref="A28:O28"/>
    <mergeCell ref="A19:O19"/>
    <mergeCell ref="A36:O36"/>
    <mergeCell ref="A1:O1"/>
    <mergeCell ref="A6:O6"/>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O3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KỸ SƯ KỸ THUẬT</t>
        </is>
      </c>
    </row>
    <row r="2" ht="16" customHeight="1">
      <c r="A2" s="21" t="inlineStr">
        <is>
          <t>Tài khoản test: Technical Engineer (2 tài khoản để test bàn giao), Sales Staff (người yêu cầu); các thao tác của Lead xem sheet Tech Lead</t>
        </is>
      </c>
    </row>
    <row r="3" ht="48" customHeight="1">
      <c r="A3" s="5" t="inlineStr">
        <is>
          <t>Kỹ thuật làm việc qua ticket. Ai cần kỹ sư (Sales cần BOM, demo, triển khai; khách báo lỗi; nhân viên cần IT) đều tạo ticket. Mỗi ticket có hạn SLA tính bằng giờ làm việc; đồng hồ SLA dừng khi có kỹ sư nhận. Loại đơn giản thì kỹ sư tự nhận, loại phức tạp thì Lead phân công.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TẠO TICKET &amp; SLA</t>
        </is>
      </c>
    </row>
    <row r="7">
      <c r="A7" s="12" t="inlineStr">
        <is>
          <t>TEC-001</t>
        </is>
      </c>
      <c r="B7" s="12" t="n">
        <v>1</v>
      </c>
      <c r="C7" s="10" t="inlineStr">
        <is>
          <t>Tạo ticket</t>
        </is>
      </c>
      <c r="D7" s="12" t="inlineStr">
        <is>
          <t>Luồng chính</t>
        </is>
      </c>
      <c r="E7" s="10" t="inlineStr">
        <is>
          <t>Tạo ticket loại tự nhận (BOM, tài liệu, hậu mãi, IT, khác)</t>
        </is>
      </c>
      <c r="F7" s="10" t="inlineStr">
        <is>
          <t>Cả team nhận "sẵn sàng pickup"</t>
        </is>
      </c>
      <c r="G7" s="7" t="n"/>
      <c r="H7" s="15" t="n"/>
      <c r="I7" s="14" t="n"/>
      <c r="J7" s="7" t="n"/>
      <c r="K7" s="14" t="n"/>
      <c r="L7" s="7" t="n"/>
      <c r="M7" s="7" t="n"/>
      <c r="N7" s="14" t="n"/>
      <c r="O7" s="7" t="n"/>
    </row>
    <row r="8">
      <c r="A8" s="12" t="inlineStr">
        <is>
          <t>TEC-002</t>
        </is>
      </c>
      <c r="B8" s="12" t="n">
        <v>1</v>
      </c>
      <c r="C8" s="10" t="inlineStr">
        <is>
          <t>Tạo ticket</t>
        </is>
      </c>
      <c r="D8" s="12" t="inlineStr">
        <is>
          <t>Luồng chính</t>
        </is>
      </c>
      <c r="E8" s="10" t="inlineStr">
        <is>
          <t>Tạo ticket loại chỉ Lead (khảo sát, triển khai, đào tạo, sự kiện)</t>
        </is>
      </c>
      <c r="F8" s="10" t="inlineStr">
        <is>
          <t>Chỉ Lead nhận "cần phân công"</t>
        </is>
      </c>
      <c r="G8" s="7" t="n"/>
      <c r="H8" s="15" t="n"/>
      <c r="I8" s="14" t="n"/>
      <c r="J8" s="7" t="n"/>
      <c r="K8" s="14" t="n"/>
      <c r="L8" s="7" t="n"/>
      <c r="M8" s="7" t="n"/>
      <c r="N8" s="14" t="n"/>
      <c r="O8" s="7" t="n"/>
    </row>
    <row r="9">
      <c r="A9" s="12" t="inlineStr">
        <is>
          <t>TEC-003</t>
        </is>
      </c>
      <c r="B9" s="12" t="n">
        <v>1</v>
      </c>
      <c r="C9" s="10" t="inlineStr">
        <is>
          <t>Tạo ticket</t>
        </is>
      </c>
      <c r="D9" s="12" t="inlineStr">
        <is>
          <t>Luồng chính</t>
        </is>
      </c>
      <c r="E9" s="10" t="inlineStr">
        <is>
          <t>Tạo ticket từ dự án</t>
        </is>
      </c>
      <c r="F9" s="10" t="inlineStr">
        <is>
          <t>Lead phụ trách nhận thông báo</t>
        </is>
      </c>
      <c r="G9" s="7" t="n"/>
      <c r="H9" s="15" t="n"/>
      <c r="I9" s="14" t="n"/>
      <c r="J9" s="7" t="n"/>
      <c r="K9" s="14" t="n"/>
      <c r="L9" s="7" t="n"/>
      <c r="M9" s="7" t="n"/>
      <c r="N9" s="14" t="n"/>
      <c r="O9" s="7" t="n"/>
    </row>
    <row r="10">
      <c r="A10" s="12" t="inlineStr">
        <is>
          <t>TEC-004</t>
        </is>
      </c>
      <c r="B10" s="12" t="n">
        <v>1</v>
      </c>
      <c r="C10" s="10" t="inlineStr">
        <is>
          <t>SLA</t>
        </is>
      </c>
      <c r="D10" s="12" t="inlineStr">
        <is>
          <t>Luồng chính</t>
        </is>
      </c>
      <c r="E10" s="10" t="inlineStr">
        <is>
          <t>Tạo ticket 16:30 thứ Sáu, ưu tiên Cao</t>
        </is>
      </c>
      <c r="F10" s="10" t="inlineStr">
        <is>
          <t>Hạn SLA rơi vào sáng thứ Hai (4 giờ làm việc)</t>
        </is>
      </c>
      <c r="G10" s="7" t="n"/>
      <c r="H10" s="15" t="n"/>
      <c r="I10" s="14" t="n"/>
      <c r="J10" s="7" t="n"/>
      <c r="K10" s="14" t="n"/>
      <c r="L10" s="7" t="n"/>
      <c r="M10" s="7" t="n"/>
      <c r="N10" s="14" t="n"/>
      <c r="O10" s="7" t="n"/>
    </row>
    <row r="11">
      <c r="A11" s="12" t="inlineStr">
        <is>
          <t>TEC-005</t>
        </is>
      </c>
      <c r="B11" s="12" t="n">
        <v>1</v>
      </c>
      <c r="C11" s="10" t="inlineStr">
        <is>
          <t>SLA</t>
        </is>
      </c>
      <c r="D11" s="12" t="inlineStr">
        <is>
          <t>Luồng chính</t>
        </is>
      </c>
      <c r="E11" s="10" t="inlineStr">
        <is>
          <t>Thêm ngày lễ trong Cài đặt SLA rồi tạo ticket</t>
        </is>
      </c>
      <c r="F11" s="10" t="inlineStr">
        <is>
          <t>Ticket mới bỏ qua ngày lễ khi tính hạn</t>
        </is>
      </c>
      <c r="G11" s="7" t="n"/>
      <c r="H11" s="15" t="n"/>
      <c r="I11" s="14" t="n"/>
      <c r="J11" s="7" t="n"/>
      <c r="K11" s="14" t="n"/>
      <c r="L11" s="7" t="n"/>
      <c r="M11" s="7" t="n"/>
      <c r="N11" s="14" t="n"/>
      <c r="O11" s="7" t="n"/>
    </row>
    <row r="12">
      <c r="A12" s="28" t="inlineStr">
        <is>
          <t>TEC-006</t>
        </is>
      </c>
      <c r="B12" s="28" t="n">
        <v>1</v>
      </c>
      <c r="C12" s="29" t="inlineStr">
        <is>
          <t>Tạo ticket</t>
        </is>
      </c>
      <c r="D12" s="28" t="inlineStr">
        <is>
          <t>Phát sinh</t>
        </is>
      </c>
      <c r="E12" s="29" t="inlineStr">
        <is>
          <t>Tạo ticket trùng (cùng khách, cùng nội dung)</t>
        </is>
      </c>
      <c r="F12" s="29" t="inlineStr">
        <is>
          <t>Cảnh báo trùng</t>
        </is>
      </c>
      <c r="G12" s="7" t="n"/>
      <c r="H12" s="15" t="n"/>
      <c r="I12" s="14" t="n"/>
      <c r="J12" s="7" t="n"/>
      <c r="K12" s="14" t="n"/>
      <c r="L12" s="7" t="n"/>
      <c r="M12" s="7" t="n"/>
      <c r="N12" s="14" t="n"/>
      <c r="O12" s="7" t="n"/>
    </row>
    <row r="13">
      <c r="A13" s="28" t="inlineStr">
        <is>
          <t>TEC-007</t>
        </is>
      </c>
      <c r="B13" s="28" t="n">
        <v>1</v>
      </c>
      <c r="C13" s="29" t="inlineStr">
        <is>
          <t>Tạo ticket</t>
        </is>
      </c>
      <c r="D13" s="28" t="inlineStr">
        <is>
          <t>Phát sinh</t>
        </is>
      </c>
      <c r="E13" s="29" t="inlineStr">
        <is>
          <t>Tài khoản không có quyền tạo ticket</t>
        </is>
      </c>
      <c r="F13" s="29" t="inlineStr">
        <is>
          <t>Bị chặn</t>
        </is>
      </c>
      <c r="G13" s="7" t="n"/>
      <c r="H13" s="15" t="n"/>
      <c r="I13" s="14" t="n"/>
      <c r="J13" s="7" t="n"/>
      <c r="K13" s="14" t="n"/>
      <c r="L13" s="7" t="n"/>
      <c r="M13" s="7" t="n"/>
      <c r="N13" s="14" t="n"/>
      <c r="O13" s="7" t="n"/>
    </row>
    <row r="14">
      <c r="A14" s="27" t="inlineStr">
        <is>
          <t>BƯỚC 2: NHẬN / PHÂN CÔNG / BÀN GIAO</t>
        </is>
      </c>
    </row>
    <row r="15">
      <c r="A15" s="12" t="inlineStr">
        <is>
          <t>TEC-008</t>
        </is>
      </c>
      <c r="B15" s="12" t="n">
        <v>2</v>
      </c>
      <c r="C15" s="10" t="inlineStr">
        <is>
          <t>Nhận / phân công</t>
        </is>
      </c>
      <c r="D15" s="12" t="inlineStr">
        <is>
          <t>Luồng chính</t>
        </is>
      </c>
      <c r="E15" s="10" t="inlineStr">
        <is>
          <t>Kỹ sư nhận ticket loại tự nhận</t>
        </is>
      </c>
      <c r="F15" s="10" t="inlineStr">
        <is>
          <t>Assigned, SLA dừng</t>
        </is>
      </c>
      <c r="G15" s="7" t="n"/>
      <c r="H15" s="15" t="n"/>
      <c r="I15" s="14" t="n"/>
      <c r="J15" s="7" t="n"/>
      <c r="K15" s="14" t="n"/>
      <c r="L15" s="7" t="n"/>
      <c r="M15" s="7" t="n"/>
      <c r="N15" s="14" t="n"/>
      <c r="O15" s="7" t="n"/>
    </row>
    <row r="16">
      <c r="A16" s="28" t="inlineStr">
        <is>
          <t>TEC-009</t>
        </is>
      </c>
      <c r="B16" s="28" t="n">
        <v>2</v>
      </c>
      <c r="C16" s="29" t="inlineStr">
        <is>
          <t>Nhận / phân công</t>
        </is>
      </c>
      <c r="D16" s="28" t="inlineStr">
        <is>
          <t>Phát sinh</t>
        </is>
      </c>
      <c r="E16" s="29" t="inlineStr">
        <is>
          <t>Kỹ sư nhận ticket loại chỉ Lead</t>
        </is>
      </c>
      <c r="F16" s="29" t="inlineStr">
        <is>
          <t>Bị chặn theo ma trận phân quyền</t>
        </is>
      </c>
      <c r="G16" s="7" t="n"/>
      <c r="H16" s="15" t="n"/>
      <c r="I16" s="14" t="n"/>
      <c r="J16" s="7" t="n"/>
      <c r="K16" s="14" t="n"/>
      <c r="L16" s="7" t="n"/>
      <c r="M16" s="7" t="n"/>
      <c r="N16" s="14" t="n"/>
      <c r="O16" s="7" t="n"/>
    </row>
    <row r="17">
      <c r="A17" s="28" t="inlineStr">
        <is>
          <t>TEC-010</t>
        </is>
      </c>
      <c r="B17" s="28" t="n">
        <v>2</v>
      </c>
      <c r="C17" s="29" t="inlineStr">
        <is>
          <t>Nhận / phân công</t>
        </is>
      </c>
      <c r="D17" s="28" t="inlineStr">
        <is>
          <t>Phát sinh</t>
        </is>
      </c>
      <c r="E17" s="29" t="inlineStr">
        <is>
          <t>Kỹ sư phân công cho người khác</t>
        </is>
      </c>
      <c r="F17" s="29" t="inlineStr">
        <is>
          <t>Bị chặn</t>
        </is>
      </c>
      <c r="G17" s="7" t="n"/>
      <c r="H17" s="15" t="n"/>
      <c r="I17" s="14" t="n"/>
      <c r="J17" s="7" t="n"/>
      <c r="K17" s="14" t="n"/>
      <c r="L17" s="7" t="n"/>
      <c r="M17" s="7" t="n"/>
      <c r="N17" s="14" t="n"/>
      <c r="O17" s="7" t="n"/>
    </row>
    <row r="18">
      <c r="A18" s="12" t="inlineStr">
        <is>
          <t>TEC-011</t>
        </is>
      </c>
      <c r="B18" s="12" t="n">
        <v>2</v>
      </c>
      <c r="C18" s="10" t="inlineStr">
        <is>
          <t>Nhận / phân công</t>
        </is>
      </c>
      <c r="D18" s="12" t="inlineStr">
        <is>
          <t>Luồng chính</t>
        </is>
      </c>
      <c r="E18" s="10" t="inlineStr">
        <is>
          <t>Bàn giao ticket cho kỹ sư khác</t>
        </is>
      </c>
      <c r="F18" s="10" t="inlineStr">
        <is>
          <t>Người mới nhận thông báo, lịch sử giữ người cũ</t>
        </is>
      </c>
      <c r="G18" s="7" t="n"/>
      <c r="H18" s="15" t="n"/>
      <c r="I18" s="14" t="n"/>
      <c r="J18" s="7" t="n"/>
      <c r="K18" s="14" t="n"/>
      <c r="L18" s="7" t="n"/>
      <c r="M18" s="7" t="n"/>
      <c r="N18" s="14" t="n"/>
      <c r="O18" s="7" t="n"/>
    </row>
    <row r="19">
      <c r="A19" s="28" t="inlineStr">
        <is>
          <t>TEC-012</t>
        </is>
      </c>
      <c r="B19" s="28" t="n">
        <v>2</v>
      </c>
      <c r="C19" s="29" t="inlineStr">
        <is>
          <t>Nhận / phân công</t>
        </is>
      </c>
      <c r="D19" s="28" t="inlineStr">
        <is>
          <t>Phát sinh</t>
        </is>
      </c>
      <c r="E19" s="29" t="inlineStr">
        <is>
          <t>Người không liên quan bàn giao</t>
        </is>
      </c>
      <c r="F19" s="29" t="inlineStr">
        <is>
          <t>Bị chặn</t>
        </is>
      </c>
      <c r="G19" s="7" t="n"/>
      <c r="H19" s="15" t="n"/>
      <c r="I19" s="14" t="n"/>
      <c r="J19" s="7" t="n"/>
      <c r="K19" s="14" t="n"/>
      <c r="L19" s="7" t="n"/>
      <c r="M19" s="7" t="n"/>
      <c r="N19" s="14" t="n"/>
      <c r="O19" s="7" t="n"/>
    </row>
    <row r="20">
      <c r="A20" s="27" t="inlineStr">
        <is>
          <t>BƯỚC 3: XỬ LÝ TICKET</t>
        </is>
      </c>
    </row>
    <row r="21">
      <c r="A21" s="12" t="inlineStr">
        <is>
          <t>TEC-013</t>
        </is>
      </c>
      <c r="B21" s="12" t="n">
        <v>3</v>
      </c>
      <c r="C21" s="10" t="inlineStr">
        <is>
          <t>Xử lý</t>
        </is>
      </c>
      <c r="D21" s="12" t="inlineStr">
        <is>
          <t>Luồng chính</t>
        </is>
      </c>
      <c r="E21" s="10" t="inlineStr">
        <is>
          <t>In Progress → Waiting → In Progress → Completed</t>
        </is>
      </c>
      <c r="F21" s="10" t="inlineStr">
        <is>
          <t>Lead nhận "Kỹ sư đã hoàn thành… Vui lòng đóng"</t>
        </is>
      </c>
      <c r="G21" s="7" t="n"/>
      <c r="H21" s="15" t="n"/>
      <c r="I21" s="14" t="n"/>
      <c r="J21" s="7" t="n"/>
      <c r="K21" s="14" t="n"/>
      <c r="L21" s="7" t="n"/>
      <c r="M21" s="7" t="n"/>
      <c r="N21" s="14" t="n"/>
      <c r="O21" s="7" t="n"/>
    </row>
    <row r="22">
      <c r="A22" s="12" t="inlineStr">
        <is>
          <t>TEC-014</t>
        </is>
      </c>
      <c r="B22" s="12" t="n">
        <v>3</v>
      </c>
      <c r="C22" s="10" t="inlineStr">
        <is>
          <t>Xử lý</t>
        </is>
      </c>
      <c r="D22" s="12" t="inlineStr">
        <is>
          <t>Luồng chính</t>
        </is>
      </c>
      <c r="E22" s="10" t="inlineStr">
        <is>
          <t>Thêm / sửa / xóa nhật ký hỗ trợ</t>
        </is>
      </c>
      <c r="F22" s="10" t="inlineStr">
        <is>
          <t>Lưu đúng thời gian, nội dung</t>
        </is>
      </c>
      <c r="G22" s="7" t="n"/>
      <c r="H22" s="15" t="n"/>
      <c r="I22" s="14" t="n"/>
      <c r="J22" s="7" t="n"/>
      <c r="K22" s="14" t="n"/>
      <c r="L22" s="7" t="n"/>
      <c r="M22" s="7" t="n"/>
      <c r="N22" s="14" t="n"/>
      <c r="O22" s="7" t="n"/>
    </row>
    <row r="23">
      <c r="A23" s="28" t="inlineStr">
        <is>
          <t>TEC-015</t>
        </is>
      </c>
      <c r="B23" s="28" t="n">
        <v>3</v>
      </c>
      <c r="C23" s="29" t="inlineStr">
        <is>
          <t>Xử lý</t>
        </is>
      </c>
      <c r="D23" s="28" t="inlineStr">
        <is>
          <t>Phát sinh</t>
        </is>
      </c>
      <c r="E23" s="29" t="inlineStr">
        <is>
          <t>Người không phải kỹ sư đang làm / Lead sửa nhật ký</t>
        </is>
      </c>
      <c r="F23" s="29" t="inlineStr">
        <is>
          <t>Bị chặn</t>
        </is>
      </c>
      <c r="G23" s="7" t="n"/>
      <c r="H23" s="15" t="n"/>
      <c r="I23" s="14" t="n"/>
      <c r="J23" s="7" t="n"/>
      <c r="K23" s="14" t="n"/>
      <c r="L23" s="7" t="n"/>
      <c r="M23" s="7" t="n"/>
      <c r="N23" s="14" t="n"/>
      <c r="O23" s="7" t="n"/>
    </row>
    <row r="24">
      <c r="A24" s="12" t="inlineStr">
        <is>
          <t>TEC-016</t>
        </is>
      </c>
      <c r="B24" s="12" t="n">
        <v>3</v>
      </c>
      <c r="C24" s="10" t="inlineStr">
        <is>
          <t>Xử lý</t>
        </is>
      </c>
      <c r="D24" s="12" t="inlineStr">
        <is>
          <t>Luồng chính</t>
        </is>
      </c>
      <c r="E24" s="10" t="inlineStr">
        <is>
          <t>Trao đổi, upload tài liệu (BOM, slide, hình, cấu hình, biên bản mượn)</t>
        </is>
      </c>
      <c r="F24" s="10" t="inlineStr">
        <is>
          <t>Hiển thị trong ticket, tải được</t>
        </is>
      </c>
      <c r="G24" s="7" t="n"/>
      <c r="H24" s="15" t="n"/>
      <c r="I24" s="14" t="n"/>
      <c r="J24" s="7" t="n"/>
      <c r="K24" s="14" t="n"/>
      <c r="L24" s="7" t="n"/>
      <c r="M24" s="7" t="n"/>
      <c r="N24" s="14" t="n"/>
      <c r="O24" s="7" t="n"/>
    </row>
    <row r="25">
      <c r="A25" s="28" t="inlineStr">
        <is>
          <t>TEC-017</t>
        </is>
      </c>
      <c r="B25" s="28" t="n">
        <v>3</v>
      </c>
      <c r="C25" s="29" t="inlineStr">
        <is>
          <t>Xử lý</t>
        </is>
      </c>
      <c r="D25" s="28" t="inlineStr">
        <is>
          <t>Phát sinh</t>
        </is>
      </c>
      <c r="E25" s="29" t="inlineStr">
        <is>
          <t>Người chỉ có quyền xem gửi trao đổi / upload</t>
        </is>
      </c>
      <c r="F25" s="29" t="inlineStr">
        <is>
          <t>Bị chặn</t>
        </is>
      </c>
      <c r="G25" s="7" t="n"/>
      <c r="H25" s="15" t="n"/>
      <c r="I25" s="14" t="n"/>
      <c r="J25" s="7" t="n"/>
      <c r="K25" s="14" t="n"/>
      <c r="L25" s="7" t="n"/>
      <c r="M25" s="7" t="n"/>
      <c r="N25" s="14" t="n"/>
      <c r="O25" s="7" t="n"/>
    </row>
    <row r="26">
      <c r="A26" s="28" t="inlineStr">
        <is>
          <t>TEC-018</t>
        </is>
      </c>
      <c r="B26" s="28" t="n">
        <v>3</v>
      </c>
      <c r="C26" s="29" t="inlineStr">
        <is>
          <t>Xử lý</t>
        </is>
      </c>
      <c r="D26" s="28" t="inlineStr">
        <is>
          <t>Phát sinh</t>
        </is>
      </c>
      <c r="E26" s="29" t="inlineStr">
        <is>
          <t>Upload file không hợp lệ</t>
        </is>
      </c>
      <c r="F26" s="29" t="inlineStr">
        <is>
          <t>Báo "Không có tài liệu tải lên nào hợp lệ"</t>
        </is>
      </c>
      <c r="G26" s="7" t="n"/>
      <c r="H26" s="15" t="n"/>
      <c r="I26" s="14" t="n"/>
      <c r="J26" s="7" t="n"/>
      <c r="K26" s="14" t="n"/>
      <c r="L26" s="7" t="n"/>
      <c r="M26" s="7" t="n"/>
      <c r="N26" s="14" t="n"/>
      <c r="O26" s="7" t="n"/>
    </row>
    <row r="27">
      <c r="A27" s="27" t="inlineStr">
        <is>
          <t>BƯỚC 4: HOÀN THÀNH &amp; ĐÓNG</t>
        </is>
      </c>
    </row>
    <row r="28">
      <c r="A28" s="12" t="inlineStr">
        <is>
          <t>TEC-019</t>
        </is>
      </c>
      <c r="B28" s="12" t="n">
        <v>4</v>
      </c>
      <c r="C28" s="10" t="inlineStr">
        <is>
          <t>Đóng ticket</t>
        </is>
      </c>
      <c r="D28" s="12" t="inlineStr">
        <is>
          <t>Luồng chính</t>
        </is>
      </c>
      <c r="E28" s="10" t="inlineStr">
        <is>
          <t>Kỹ sư chuyển Completed; người yêu cầu gửi yêu cầu đóng</t>
        </is>
      </c>
      <c r="F28" s="10" t="inlineStr">
        <is>
          <t>Tech Lead nhận thông báo để đóng (bước đóng test ở sheet Tech Lead)</t>
        </is>
      </c>
      <c r="G28" s="7" t="n"/>
      <c r="H28" s="15" t="n"/>
      <c r="I28" s="14" t="n"/>
      <c r="J28" s="7" t="n"/>
      <c r="K28" s="14" t="n"/>
      <c r="L28" s="7" t="n"/>
      <c r="M28" s="7" t="n"/>
      <c r="N28" s="14" t="n"/>
      <c r="O28" s="7" t="n"/>
    </row>
    <row r="29">
      <c r="A29" s="28" t="inlineStr">
        <is>
          <t>TEC-020</t>
        </is>
      </c>
      <c r="B29" s="28" t="n">
        <v>4</v>
      </c>
      <c r="C29" s="29" t="inlineStr">
        <is>
          <t>Đóng ticket</t>
        </is>
      </c>
      <c r="D29" s="28" t="inlineStr">
        <is>
          <t>Phát sinh</t>
        </is>
      </c>
      <c r="E29" s="29" t="inlineStr">
        <is>
          <t>Người khác gửi yêu cầu đóng; kỹ sư tự đóng</t>
        </is>
      </c>
      <c r="F29" s="29" t="inlineStr">
        <is>
          <t>Bị chặn</t>
        </is>
      </c>
      <c r="G29" s="7" t="n"/>
      <c r="H29" s="15" t="n"/>
      <c r="I29" s="14" t="n"/>
      <c r="J29" s="7" t="n"/>
      <c r="K29" s="14" t="n"/>
      <c r="L29" s="7" t="n"/>
      <c r="M29" s="7" t="n"/>
      <c r="N29" s="14" t="n"/>
      <c r="O29" s="7" t="n"/>
    </row>
    <row r="30">
      <c r="A30" s="28" t="inlineStr">
        <is>
          <t>TEC-021</t>
        </is>
      </c>
      <c r="B30" s="28" t="n">
        <v>4</v>
      </c>
      <c r="C30" s="29" t="inlineStr">
        <is>
          <t>Đóng ticket</t>
        </is>
      </c>
      <c r="D30" s="28" t="inlineStr">
        <is>
          <t>Phát sinh</t>
        </is>
      </c>
      <c r="E30" s="29" t="inlineStr">
        <is>
          <t>Ticket gắn cơ hội chưa Completed, Sales đóng cơ hội</t>
        </is>
      </c>
      <c r="F30" s="29" t="inlineStr">
        <is>
          <t>Cơ hội không hoàn thành được</t>
        </is>
      </c>
      <c r="G30" s="7" t="n"/>
      <c r="H30" s="15" t="n"/>
      <c r="I30" s="14" t="n"/>
      <c r="J30" s="7" t="n"/>
      <c r="K30" s="14" t="n"/>
      <c r="L30" s="7" t="n"/>
      <c r="M30" s="7" t="n"/>
      <c r="N30" s="14" t="n"/>
      <c r="O30" s="7" t="n"/>
    </row>
    <row r="31">
      <c r="A31" s="27" t="inlineStr">
        <is>
          <t>BƯỚC 5: TRA CỨU S/N</t>
        </is>
      </c>
    </row>
    <row r="32">
      <c r="A32" s="12" t="inlineStr">
        <is>
          <t>TEC-022</t>
        </is>
      </c>
      <c r="B32" s="12" t="n">
        <v>5</v>
      </c>
      <c r="C32" s="10" t="inlineStr">
        <is>
          <t>Tra cứu S/N</t>
        </is>
      </c>
      <c r="D32" s="12" t="inlineStr">
        <is>
          <t>Luồng chính</t>
        </is>
      </c>
      <c r="E32" s="10" t="inlineStr">
        <is>
          <t>Tra S/N đã bán</t>
        </is>
      </c>
      <c r="F32" s="10" t="inlineStr">
        <is>
          <t>Hiện khách, SO, ngày xuất, hạn bảo hành, license</t>
        </is>
      </c>
      <c r="G32" s="7" t="n"/>
      <c r="H32" s="15" t="n"/>
      <c r="I32" s="14" t="n"/>
      <c r="J32" s="7" t="n"/>
      <c r="K32" s="14" t="n"/>
      <c r="L32" s="7" t="n"/>
      <c r="M32" s="7" t="n"/>
      <c r="N32" s="14" t="n"/>
      <c r="O32" s="7" t="n"/>
    </row>
    <row r="33">
      <c r="A33" s="28" t="inlineStr">
        <is>
          <t>TEC-023</t>
        </is>
      </c>
      <c r="B33" s="28" t="n">
        <v>5</v>
      </c>
      <c r="C33" s="29" t="inlineStr">
        <is>
          <t>Tra cứu S/N</t>
        </is>
      </c>
      <c r="D33" s="28" t="inlineStr">
        <is>
          <t>Phát sinh</t>
        </is>
      </c>
      <c r="E33" s="29" t="inlineStr">
        <is>
          <t>Tra S/N không tồn tại</t>
        </is>
      </c>
      <c r="F33" s="29" t="inlineStr">
        <is>
          <t>"Không tìm thấy thiết bị"</t>
        </is>
      </c>
      <c r="G33" s="7" t="n"/>
      <c r="H33" s="15" t="n"/>
      <c r="I33" s="14" t="n"/>
      <c r="J33" s="7" t="n"/>
      <c r="K33" s="14" t="n"/>
      <c r="L33" s="7" t="n"/>
      <c r="M33" s="7" t="n"/>
      <c r="N33" s="14" t="n"/>
      <c r="O33" s="7" t="n"/>
    </row>
    <row r="34">
      <c r="A34" s="28" t="inlineStr">
        <is>
          <t>TEC-024</t>
        </is>
      </c>
      <c r="B34" s="28" t="n">
        <v>5</v>
      </c>
      <c r="C34" s="29" t="inlineStr">
        <is>
          <t>Tra cứu S/N</t>
        </is>
      </c>
      <c r="D34" s="28" t="inlineStr">
        <is>
          <t>Phát sinh</t>
        </is>
      </c>
      <c r="E34" s="29" t="inlineStr">
        <is>
          <t>Tài khoản không có quyền tra cứu</t>
        </is>
      </c>
      <c r="F34" s="29" t="inlineStr">
        <is>
          <t>Bị chặn</t>
        </is>
      </c>
      <c r="G34" s="7" t="n"/>
      <c r="H34" s="15" t="n"/>
      <c r="I34" s="14" t="n"/>
      <c r="J34" s="7" t="n"/>
      <c r="K34" s="14" t="n"/>
      <c r="L34" s="7" t="n"/>
      <c r="M34" s="7" t="n"/>
      <c r="N34" s="14" t="n"/>
      <c r="O34" s="7" t="n"/>
    </row>
  </sheetData>
  <autoFilter ref="A5:O34"/>
  <mergeCells count="8">
    <mergeCell ref="A20:O20"/>
    <mergeCell ref="A2:O2"/>
    <mergeCell ref="A14:O14"/>
    <mergeCell ref="A1:O1"/>
    <mergeCell ref="A27:O27"/>
    <mergeCell ref="A31:O31"/>
    <mergeCell ref="A6:O6"/>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O2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TECH LEAD (TRƯỞNG NHÓM KỸ THUẬT)</t>
        </is>
      </c>
    </row>
    <row r="2" ht="16" customHeight="1">
      <c r="A2" s="21" t="inlineStr">
        <is>
          <t>Tài khoản test: Technical Team Lead; 2 Technical Engineer; 1 Technical Engineer đã khóa; Sales Staff (người yêu cầu)</t>
        </is>
      </c>
    </row>
    <row r="3" ht="48" customHeight="1">
      <c r="A3" s="5" t="inlineStr">
        <is>
          <t>Tech Lead điều phối team kỹ thuật: nhận các ticket chỉ Lead được nhận (khảo sát, triển khai, đào tạo, sự kiện) và ticket từ dự án, phân công kỹ sư, điều chuyển khi kỹ sư bận, đóng ticket sau khi kỹ sư hoàn thành, cấu hình loại ticket kỹ sư được tự nhận và theo dõi SLA.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NHẬN TICKET CẦN PHÂN CÔNG</t>
        </is>
      </c>
    </row>
    <row r="7">
      <c r="A7" s="12" t="inlineStr">
        <is>
          <t>TL-001</t>
        </is>
      </c>
      <c r="B7" s="12" t="n">
        <v>1</v>
      </c>
      <c r="C7" s="10" t="inlineStr">
        <is>
          <t>Nhận ticket</t>
        </is>
      </c>
      <c r="D7" s="12" t="inlineStr">
        <is>
          <t>Luồng chính</t>
        </is>
      </c>
      <c r="E7" s="10" t="inlineStr">
        <is>
          <t>Sales tạo ticket loại khảo sát / triển khai</t>
        </is>
      </c>
      <c r="F7" s="10" t="inlineStr">
        <is>
          <t>Chỉ Tech Lead nhận thông báo "cần phân công"</t>
        </is>
      </c>
      <c r="G7" s="7" t="n"/>
      <c r="H7" s="15" t="n"/>
      <c r="I7" s="14" t="n"/>
      <c r="J7" s="7" t="n"/>
      <c r="K7" s="14" t="n"/>
      <c r="L7" s="7" t="n"/>
      <c r="M7" s="7" t="n"/>
      <c r="N7" s="14" t="n"/>
      <c r="O7" s="7" t="n"/>
    </row>
    <row r="8">
      <c r="A8" s="12" t="inlineStr">
        <is>
          <t>TL-002</t>
        </is>
      </c>
      <c r="B8" s="12" t="n">
        <v>1</v>
      </c>
      <c r="C8" s="10" t="inlineStr">
        <is>
          <t>Nhận ticket</t>
        </is>
      </c>
      <c r="D8" s="12" t="inlineStr">
        <is>
          <t>Luồng chính</t>
        </is>
      </c>
      <c r="E8" s="10" t="inlineStr">
        <is>
          <t>Tech Lead mở Quản lý Ticket</t>
        </is>
      </c>
      <c r="F8" s="10" t="inlineStr">
        <is>
          <t>Thấy toàn bộ ticket của team</t>
        </is>
      </c>
      <c r="G8" s="7" t="n"/>
      <c r="H8" s="15" t="n"/>
      <c r="I8" s="14" t="n"/>
      <c r="J8" s="7" t="n"/>
      <c r="K8" s="14" t="n"/>
      <c r="L8" s="7" t="n"/>
      <c r="M8" s="7" t="n"/>
      <c r="N8" s="14" t="n"/>
      <c r="O8" s="7" t="n"/>
    </row>
    <row r="9">
      <c r="A9" s="27" t="inlineStr">
        <is>
          <t>BƯỚC 2: PHÂN CÔNG KỸ SƯ</t>
        </is>
      </c>
    </row>
    <row r="10">
      <c r="A10" s="12" t="inlineStr">
        <is>
          <t>TL-003</t>
        </is>
      </c>
      <c r="B10" s="12" t="n">
        <v>2</v>
      </c>
      <c r="C10" s="10" t="inlineStr">
        <is>
          <t>Phân công</t>
        </is>
      </c>
      <c r="D10" s="12" t="inlineStr">
        <is>
          <t>Luồng chính</t>
        </is>
      </c>
      <c r="E10" s="10" t="inlineStr">
        <is>
          <t>Phân công 1 kỹ sư</t>
        </is>
      </c>
      <c r="F10" s="10" t="inlineStr">
        <is>
          <t>Kỹ sư nhận thông báo, ticket Assigned, SLA dừng</t>
        </is>
      </c>
      <c r="G10" s="7" t="n"/>
      <c r="H10" s="15" t="n"/>
      <c r="I10" s="14" t="n"/>
      <c r="J10" s="7" t="n"/>
      <c r="K10" s="14" t="n"/>
      <c r="L10" s="7" t="n"/>
      <c r="M10" s="7" t="n"/>
      <c r="N10" s="14" t="n"/>
      <c r="O10" s="7" t="n"/>
    </row>
    <row r="11">
      <c r="A11" s="28" t="inlineStr">
        <is>
          <t>TL-004</t>
        </is>
      </c>
      <c r="B11" s="28" t="n">
        <v>2</v>
      </c>
      <c r="C11" s="29" t="inlineStr">
        <is>
          <t>Phân công</t>
        </is>
      </c>
      <c r="D11" s="28" t="inlineStr">
        <is>
          <t>Phát sinh</t>
        </is>
      </c>
      <c r="E11" s="29" t="inlineStr">
        <is>
          <t>Phân công cho kỹ sư đã khóa / tài khoản không thuộc team Kỹ thuật</t>
        </is>
      </c>
      <c r="F11" s="29" t="inlineStr">
        <is>
          <t>Bị chặn</t>
        </is>
      </c>
      <c r="G11" s="7" t="n"/>
      <c r="H11" s="15" t="n"/>
      <c r="I11" s="14" t="n"/>
      <c r="J11" s="7" t="n"/>
      <c r="K11" s="14" t="n"/>
      <c r="L11" s="7" t="n"/>
      <c r="M11" s="7" t="n"/>
      <c r="N11" s="14" t="n"/>
      <c r="O11" s="7" t="n"/>
    </row>
    <row r="12">
      <c r="A12" s="28" t="inlineStr">
        <is>
          <t>TL-005</t>
        </is>
      </c>
      <c r="B12" s="28" t="n">
        <v>2</v>
      </c>
      <c r="C12" s="29" t="inlineStr">
        <is>
          <t>Phân công</t>
        </is>
      </c>
      <c r="D12" s="28" t="inlineStr">
        <is>
          <t>Phát sinh</t>
        </is>
      </c>
      <c r="E12" s="29" t="inlineStr">
        <is>
          <t>Để ticket quá hạn SLA rồi mới phân công</t>
        </is>
      </c>
      <c r="F12" s="29" t="inlineStr">
        <is>
          <t>Ticket hiện quá SLA trên báo cáo</t>
        </is>
      </c>
      <c r="G12" s="7" t="n"/>
      <c r="H12" s="15" t="n"/>
      <c r="I12" s="14" t="n"/>
      <c r="J12" s="7" t="n"/>
      <c r="K12" s="14" t="n"/>
      <c r="L12" s="7" t="n"/>
      <c r="M12" s="7" t="n"/>
      <c r="N12" s="14" t="n"/>
      <c r="O12" s="7" t="n"/>
    </row>
    <row r="13">
      <c r="A13" s="27" t="inlineStr">
        <is>
          <t>BƯỚC 3: THEO DÕI &amp; ĐIỀU CHUYỂN</t>
        </is>
      </c>
    </row>
    <row r="14">
      <c r="A14" s="12" t="inlineStr">
        <is>
          <t>TL-006</t>
        </is>
      </c>
      <c r="B14" s="12" t="n">
        <v>3</v>
      </c>
      <c r="C14" s="10" t="inlineStr">
        <is>
          <t>Điều chuyển</t>
        </is>
      </c>
      <c r="D14" s="12" t="inlineStr">
        <is>
          <t>Luồng chính</t>
        </is>
      </c>
      <c r="E14" s="10" t="inlineStr">
        <is>
          <t>Bàn giao ticket từ kỹ sư A sang B</t>
        </is>
      </c>
      <c r="F14" s="10" t="inlineStr">
        <is>
          <t>B nhận thông báo, lịch sử giữ A</t>
        </is>
      </c>
      <c r="G14" s="7" t="n"/>
      <c r="H14" s="15" t="n"/>
      <c r="I14" s="14" t="n"/>
      <c r="J14" s="7" t="n"/>
      <c r="K14" s="14" t="n"/>
      <c r="L14" s="7" t="n"/>
      <c r="M14" s="7" t="n"/>
      <c r="N14" s="14" t="n"/>
      <c r="O14" s="7" t="n"/>
    </row>
    <row r="15">
      <c r="A15" s="12" t="inlineStr">
        <is>
          <t>TL-007</t>
        </is>
      </c>
      <c r="B15" s="12" t="n">
        <v>3</v>
      </c>
      <c r="C15" s="10" t="inlineStr">
        <is>
          <t>Điều chuyển</t>
        </is>
      </c>
      <c r="D15" s="12" t="inlineStr">
        <is>
          <t>Luồng chính</t>
        </is>
      </c>
      <c r="E15" s="10" t="inlineStr">
        <is>
          <t>Tech Lead cập nhật tiến độ và thêm nhật ký hỗ trợ</t>
        </is>
      </c>
      <c r="F15" s="10" t="inlineStr">
        <is>
          <t>Được phép, lưu đúng</t>
        </is>
      </c>
      <c r="G15" s="7" t="n"/>
      <c r="H15" s="15" t="n"/>
      <c r="I15" s="14" t="n"/>
      <c r="J15" s="7" t="n"/>
      <c r="K15" s="14" t="n"/>
      <c r="L15" s="7" t="n"/>
      <c r="M15" s="7" t="n"/>
      <c r="N15" s="14" t="n"/>
      <c r="O15" s="7" t="n"/>
    </row>
    <row r="16">
      <c r="A16" s="27" t="inlineStr">
        <is>
          <t>BƯỚC 4: ĐÓNG TICKET</t>
        </is>
      </c>
    </row>
    <row r="17">
      <c r="A17" s="12" t="inlineStr">
        <is>
          <t>TL-008</t>
        </is>
      </c>
      <c r="B17" s="12" t="n">
        <v>4</v>
      </c>
      <c r="C17" s="10" t="inlineStr">
        <is>
          <t>Đóng ticket</t>
        </is>
      </c>
      <c r="D17" s="12" t="inlineStr">
        <is>
          <t>Luồng chính</t>
        </is>
      </c>
      <c r="E17" s="10" t="inlineStr">
        <is>
          <t>Kỹ sư Completed → Tech Lead Đóng</t>
        </is>
      </c>
      <c r="F17" s="10" t="inlineStr">
        <is>
          <t>Closed, người yêu cầu nhận thông báo</t>
        </is>
      </c>
      <c r="G17" s="7" t="n"/>
      <c r="H17" s="15" t="n"/>
      <c r="I17" s="14" t="n"/>
      <c r="J17" s="7" t="n"/>
      <c r="K17" s="14" t="n"/>
      <c r="L17" s="7" t="n"/>
      <c r="M17" s="7" t="n"/>
      <c r="N17" s="14" t="n"/>
      <c r="O17" s="7" t="n"/>
    </row>
    <row r="18">
      <c r="A18" s="28" t="inlineStr">
        <is>
          <t>TL-009</t>
        </is>
      </c>
      <c r="B18" s="28" t="n">
        <v>4</v>
      </c>
      <c r="C18" s="29" t="inlineStr">
        <is>
          <t>Đóng ticket</t>
        </is>
      </c>
      <c r="D18" s="28" t="inlineStr">
        <is>
          <t>Phát sinh</t>
        </is>
      </c>
      <c r="E18" s="29" t="inlineStr">
        <is>
          <t>Kỹ sư thử Đóng ticket</t>
        </is>
      </c>
      <c r="F18" s="29" t="inlineStr">
        <is>
          <t>Bị chặn "Chỉ Technical Team Lead hoặc Quản trị viên…"</t>
        </is>
      </c>
      <c r="G18" s="7" t="n"/>
      <c r="H18" s="15" t="n"/>
      <c r="I18" s="14" t="n"/>
      <c r="J18" s="7" t="n"/>
      <c r="K18" s="14" t="n"/>
      <c r="L18" s="7" t="n"/>
      <c r="M18" s="7" t="n"/>
      <c r="N18" s="14" t="n"/>
      <c r="O18" s="7" t="n"/>
    </row>
    <row r="19">
      <c r="A19" s="27" t="inlineStr">
        <is>
          <t>BƯỚC 5: CẤU HÌNH QUYỀN NHẬN &amp; SLA</t>
        </is>
      </c>
    </row>
    <row r="20">
      <c r="A20" s="12" t="inlineStr">
        <is>
          <t>TL-010</t>
        </is>
      </c>
      <c r="B20" s="12" t="n">
        <v>5</v>
      </c>
      <c r="C20" s="10" t="inlineStr">
        <is>
          <t>Cấu hình</t>
        </is>
      </c>
      <c r="D20" s="12" t="inlineStr">
        <is>
          <t>Luồng chính</t>
        </is>
      </c>
      <c r="E20" s="10" t="inlineStr">
        <is>
          <t>Cho kỹ sư tự nhận thêm loại "Training" trên ma trận quyền</t>
        </is>
      </c>
      <c r="F20" s="10" t="inlineStr">
        <is>
          <t>Kỹ sư nhận được loại đó ngay</t>
        </is>
      </c>
      <c r="G20" s="7" t="n"/>
      <c r="H20" s="15" t="n"/>
      <c r="I20" s="14" t="n"/>
      <c r="J20" s="7" t="n"/>
      <c r="K20" s="14" t="n"/>
      <c r="L20" s="7" t="n"/>
      <c r="M20" s="7" t="n"/>
      <c r="N20" s="14" t="n"/>
      <c r="O20" s="7" t="n"/>
    </row>
    <row r="21">
      <c r="A21" s="12" t="inlineStr">
        <is>
          <t>TL-011</t>
        </is>
      </c>
      <c r="B21" s="12" t="n">
        <v>5</v>
      </c>
      <c r="C21" s="10" t="inlineStr">
        <is>
          <t>Cấu hình</t>
        </is>
      </c>
      <c r="D21" s="12" t="inlineStr">
        <is>
          <t>Luồng chính</t>
        </is>
      </c>
      <c r="E21" s="10" t="inlineStr">
        <is>
          <t>Thêm ngày lễ vào SLA kỹ thuật</t>
        </is>
      </c>
      <c r="F21" s="10" t="inlineStr">
        <is>
          <t>Ticket mới bỏ qua ngày lễ khi tính hạn</t>
        </is>
      </c>
      <c r="G21" s="7" t="n"/>
      <c r="H21" s="15" t="n"/>
      <c r="I21" s="14" t="n"/>
      <c r="J21" s="7" t="n"/>
      <c r="K21" s="14" t="n"/>
      <c r="L21" s="7" t="n"/>
      <c r="M21" s="7" t="n"/>
      <c r="N21" s="14" t="n"/>
      <c r="O21" s="7" t="n"/>
    </row>
    <row r="22">
      <c r="A22" s="27" t="inlineStr">
        <is>
          <t>BƯỚC 6: BÁO CÁO TEAM</t>
        </is>
      </c>
    </row>
    <row r="23">
      <c r="A23" s="12" t="inlineStr">
        <is>
          <t>TL-012</t>
        </is>
      </c>
      <c r="B23" s="12" t="n">
        <v>6</v>
      </c>
      <c r="C23" s="10" t="inlineStr">
        <is>
          <t>Báo cáo</t>
        </is>
      </c>
      <c r="D23" s="12" t="inlineStr">
        <is>
          <t>Luồng chính</t>
        </is>
      </c>
      <c r="E23" s="10" t="inlineStr">
        <is>
          <t>Báo cáo theo kỹ sư, quá SLA; xuất Excel nhật ký hỗ trợ</t>
        </is>
      </c>
      <c r="F23" s="10" t="inlineStr">
        <is>
          <t>Số liệu khớp, file mở được</t>
        </is>
      </c>
      <c r="G23" s="7" t="n"/>
      <c r="H23" s="15" t="n"/>
      <c r="I23" s="14" t="n"/>
      <c r="J23" s="7" t="n"/>
      <c r="K23" s="14" t="n"/>
      <c r="L23" s="7" t="n"/>
      <c r="M23" s="7" t="n"/>
      <c r="N23" s="14" t="n"/>
      <c r="O23" s="7" t="n"/>
    </row>
    <row r="24">
      <c r="A24" s="28" t="inlineStr">
        <is>
          <t>TL-013</t>
        </is>
      </c>
      <c r="B24" s="28" t="n">
        <v>6</v>
      </c>
      <c r="C24" s="29" t="inlineStr">
        <is>
          <t>Báo cáo</t>
        </is>
      </c>
      <c r="D24" s="28" t="inlineStr">
        <is>
          <t>Phát sinh</t>
        </is>
      </c>
      <c r="E24" s="29" t="inlineStr">
        <is>
          <t>Kỹ sư không có quyền xuất nhật ký hỗ trợ</t>
        </is>
      </c>
      <c r="F24" s="29" t="inlineStr">
        <is>
          <t>Bị chặn "Bạn không có quyền xuất nhật ký hỗ trợ."</t>
        </is>
      </c>
      <c r="G24" s="7" t="n"/>
      <c r="H24" s="15" t="n"/>
      <c r="I24" s="14" t="n"/>
      <c r="J24" s="7" t="n"/>
      <c r="K24" s="14" t="n"/>
      <c r="L24" s="7" t="n"/>
      <c r="M24" s="7" t="n"/>
      <c r="N24" s="14" t="n"/>
      <c r="O24" s="7" t="n"/>
    </row>
  </sheetData>
  <autoFilter ref="A5:O24"/>
  <mergeCells count="9">
    <mergeCell ref="A2:O2"/>
    <mergeCell ref="A16:O16"/>
    <mergeCell ref="A13:O13"/>
    <mergeCell ref="A19:O19"/>
    <mergeCell ref="A1:O1"/>
    <mergeCell ref="A6:O6"/>
    <mergeCell ref="A22:O22"/>
    <mergeCell ref="A9:O9"/>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O32"/>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MARKETING</t>
        </is>
      </c>
    </row>
    <row r="2" ht="16" customHeight="1">
      <c r="A2" s="21" t="inlineStr">
        <is>
          <t>Tài khoản test: Marketing, Sales Staff (người yêu cầu), BOD (duyệt), Finance Team (thanh toán)</t>
        </is>
      </c>
    </row>
    <row r="3" ht="48" customHeight="1">
      <c r="A3" s="5" t="inlineStr">
        <is>
          <t>Marketing có 3 mảng: tổ chức sự kiện, phục vụ yêu cầu của Sales (quà tặng, công tác, chi phí), và quản lý kho vật phẩm cùng quỹ hỗ trợ của Hãng. Mọi khoản tốn tiền đều phải qua BOD duyệt, sau đó Kế toán mới chi.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VẬT PHẨM &amp; QUỸ HÃNG</t>
        </is>
      </c>
    </row>
    <row r="7">
      <c r="A7" s="12" t="inlineStr">
        <is>
          <t>MKT-001</t>
        </is>
      </c>
      <c r="B7" s="12" t="n">
        <v>1</v>
      </c>
      <c r="C7" s="10" t="inlineStr">
        <is>
          <t>Vật phẩm</t>
        </is>
      </c>
      <c r="D7" s="12" t="inlineStr">
        <is>
          <t>Luồng chính</t>
        </is>
      </c>
      <c r="E7" s="10" t="inlineStr">
        <is>
          <t>Đề xuất vật phẩm mới → BOD duyệt</t>
        </is>
      </c>
      <c r="F7" s="10" t="inlineStr">
        <is>
          <t>Tồn kho vật phẩm được khởi tạo</t>
        </is>
      </c>
      <c r="G7" s="7" t="n"/>
      <c r="H7" s="15" t="n"/>
      <c r="I7" s="14" t="n"/>
      <c r="J7" s="7" t="n"/>
      <c r="K7" s="14" t="n"/>
      <c r="L7" s="7" t="n"/>
      <c r="M7" s="7" t="n"/>
      <c r="N7" s="14" t="n"/>
      <c r="O7" s="7" t="n"/>
    </row>
    <row r="8">
      <c r="A8" s="28" t="inlineStr">
        <is>
          <t>MKT-002</t>
        </is>
      </c>
      <c r="B8" s="28" t="n">
        <v>1</v>
      </c>
      <c r="C8" s="29" t="inlineStr">
        <is>
          <t>Vật phẩm</t>
        </is>
      </c>
      <c r="D8" s="28" t="inlineStr">
        <is>
          <t>Phát sinh</t>
        </is>
      </c>
      <c r="E8" s="29" t="inlineStr">
        <is>
          <t>BOD từ chối; người không phải BOD / Admin duyệt</t>
        </is>
      </c>
      <c r="F8" s="29" t="inlineStr">
        <is>
          <t>Vật phẩm không dùng được; duyệt: bị chặn</t>
        </is>
      </c>
      <c r="G8" s="7" t="n"/>
      <c r="H8" s="15" t="n"/>
      <c r="I8" s="14" t="n"/>
      <c r="J8" s="7" t="n"/>
      <c r="K8" s="14" t="n"/>
      <c r="L8" s="7" t="n"/>
      <c r="M8" s="7" t="n"/>
      <c r="N8" s="14" t="n"/>
      <c r="O8" s="7" t="n"/>
    </row>
    <row r="9">
      <c r="A9" s="12" t="inlineStr">
        <is>
          <t>MKT-003</t>
        </is>
      </c>
      <c r="B9" s="12" t="n">
        <v>1</v>
      </c>
      <c r="C9" s="10" t="inlineStr">
        <is>
          <t>Vật phẩm</t>
        </is>
      </c>
      <c r="D9" s="12" t="inlineStr">
        <is>
          <t>Luồng chính</t>
        </is>
      </c>
      <c r="E9" s="10" t="inlineStr">
        <is>
          <t>Import vật phẩm từ file mẫu</t>
        </is>
      </c>
      <c r="F9" s="10" t="inlineStr">
        <is>
          <t>Báo số thêm mới / cập nhật</t>
        </is>
      </c>
      <c r="G9" s="7" t="n"/>
      <c r="H9" s="15" t="n"/>
      <c r="I9" s="14" t="n"/>
      <c r="J9" s="7" t="n"/>
      <c r="K9" s="14" t="n"/>
      <c r="L9" s="7" t="n"/>
      <c r="M9" s="7" t="n"/>
      <c r="N9" s="14" t="n"/>
      <c r="O9" s="7" t="n"/>
    </row>
    <row r="10">
      <c r="A10" s="28" t="inlineStr">
        <is>
          <t>MKT-004</t>
        </is>
      </c>
      <c r="B10" s="28" t="n">
        <v>1</v>
      </c>
      <c r="C10" s="29" t="inlineStr">
        <is>
          <t>Vật phẩm</t>
        </is>
      </c>
      <c r="D10" s="28" t="inlineStr">
        <is>
          <t>Phát sinh</t>
        </is>
      </c>
      <c r="E10" s="29" t="inlineStr">
        <is>
          <t>Xuất vật phẩm vượt tồn</t>
        </is>
      </c>
      <c r="F10" s="29" t="inlineStr">
        <is>
          <t>Báo "Không đủ tồn kho để xuất. Tồn hiện tại: …"</t>
        </is>
      </c>
      <c r="G10" s="7" t="n"/>
      <c r="H10" s="15" t="n"/>
      <c r="I10" s="14" t="n"/>
      <c r="J10" s="7" t="n"/>
      <c r="K10" s="14" t="n"/>
      <c r="L10" s="7" t="n"/>
      <c r="M10" s="7" t="n"/>
      <c r="N10" s="14" t="n"/>
      <c r="O10" s="7" t="n"/>
    </row>
    <row r="11">
      <c r="A11" s="12" t="inlineStr">
        <is>
          <t>MKT-005</t>
        </is>
      </c>
      <c r="B11" s="12" t="n">
        <v>1</v>
      </c>
      <c r="C11" s="10" t="inlineStr">
        <is>
          <t>Quỹ Hãng</t>
        </is>
      </c>
      <c r="D11" s="12" t="inlineStr">
        <is>
          <t>Luồng chính</t>
        </is>
      </c>
      <c r="E11" s="10" t="inlineStr">
        <is>
          <t>Tạo / import quỹ, chi từ quỹ, thu công nợ Hãng</t>
        </is>
      </c>
      <c r="F11" s="10" t="inlineStr">
        <is>
          <t>Số dư quỹ giảm khi chi; thu tạo giao dịch tất toán</t>
        </is>
      </c>
      <c r="G11" s="7" t="n"/>
      <c r="H11" s="15" t="n"/>
      <c r="I11" s="14" t="n"/>
      <c r="J11" s="7" t="n"/>
      <c r="K11" s="14" t="n"/>
      <c r="L11" s="7" t="n"/>
      <c r="M11" s="7" t="n"/>
      <c r="N11" s="14" t="n"/>
      <c r="O11" s="7" t="n"/>
    </row>
    <row r="12">
      <c r="A12" s="28" t="inlineStr">
        <is>
          <t>MKT-006</t>
        </is>
      </c>
      <c r="B12" s="28" t="n">
        <v>1</v>
      </c>
      <c r="C12" s="29" t="inlineStr">
        <is>
          <t>Quỹ Hãng</t>
        </is>
      </c>
      <c r="D12" s="28" t="inlineStr">
        <is>
          <t>Phát sinh</t>
        </is>
      </c>
      <c r="E12" s="29" t="inlineStr">
        <is>
          <t>Thu lại giao dịch đã tất toán</t>
        </is>
      </c>
      <c r="F12" s="29" t="inlineStr">
        <is>
          <t>Bị chặn</t>
        </is>
      </c>
      <c r="G12" s="7" t="n"/>
      <c r="H12" s="15" t="n"/>
      <c r="I12" s="14" t="n"/>
      <c r="J12" s="7" t="n"/>
      <c r="K12" s="14" t="n"/>
      <c r="L12" s="7" t="n"/>
      <c r="M12" s="7" t="n"/>
      <c r="N12" s="14" t="n"/>
      <c r="O12" s="7" t="n"/>
    </row>
    <row r="13">
      <c r="A13" s="27" t="inlineStr">
        <is>
          <t>BƯỚC 2: SỰ KIỆN</t>
        </is>
      </c>
    </row>
    <row r="14">
      <c r="A14" s="12" t="inlineStr">
        <is>
          <t>MKT-007</t>
        </is>
      </c>
      <c r="B14" s="12" t="n">
        <v>2</v>
      </c>
      <c r="C14" s="10" t="inlineStr">
        <is>
          <t>Sự kiện</t>
        </is>
      </c>
      <c r="D14" s="12" t="inlineStr">
        <is>
          <t>Luồng chính</t>
        </is>
      </c>
      <c r="E14" s="10" t="inlineStr">
        <is>
          <t>Tạo sự kiện → gửi duyệt → Order Management duyệt cấp 1 → BOD duyệt cấp 2</t>
        </is>
      </c>
      <c r="F14" s="10" t="inlineStr">
        <is>
          <t>Đủ 2 cấp mới Đã duyệt; người tạo nhận thông báo</t>
        </is>
      </c>
      <c r="G14" s="7" t="n"/>
      <c r="H14" s="15" t="n"/>
      <c r="I14" s="14" t="n"/>
      <c r="J14" s="7" t="n"/>
      <c r="K14" s="14" t="n"/>
      <c r="L14" s="7" t="n"/>
      <c r="M14" s="7" t="n"/>
      <c r="N14" s="14" t="n"/>
      <c r="O14" s="7" t="n"/>
    </row>
    <row r="15">
      <c r="A15" s="28" t="inlineStr">
        <is>
          <t>MKT-008</t>
        </is>
      </c>
      <c r="B15" s="28" t="n">
        <v>2</v>
      </c>
      <c r="C15" s="29" t="inlineStr">
        <is>
          <t>Sự kiện</t>
        </is>
      </c>
      <c r="D15" s="28" t="inlineStr">
        <is>
          <t>Phát sinh</t>
        </is>
      </c>
      <c r="E15" s="29" t="inlineStr">
        <is>
          <t>Order Management hoặc BOD từ chối kèm lý do</t>
        </is>
      </c>
      <c r="F15" s="29" t="inlineStr">
        <is>
          <t>Sự kiện Từ chối, người tạo thấy lý do, sửa và gửi lại được</t>
        </is>
      </c>
      <c r="G15" s="7" t="n"/>
      <c r="H15" s="15" t="n"/>
      <c r="I15" s="14" t="n"/>
      <c r="J15" s="7" t="n"/>
      <c r="K15" s="14" t="n"/>
      <c r="L15" s="7" t="n"/>
      <c r="M15" s="7" t="n"/>
      <c r="N15" s="14" t="n"/>
      <c r="O15" s="7" t="n"/>
    </row>
    <row r="16">
      <c r="A16" s="28" t="inlineStr">
        <is>
          <t>MKT-009</t>
        </is>
      </c>
      <c r="B16" s="28" t="n">
        <v>2</v>
      </c>
      <c r="C16" s="29" t="inlineStr">
        <is>
          <t>Sự kiện</t>
        </is>
      </c>
      <c r="D16" s="28" t="inlineStr">
        <is>
          <t>Phát sinh</t>
        </is>
      </c>
      <c r="E16" s="29" t="inlineStr">
        <is>
          <t>Sửa sự kiện đang chờ duyệt / đã duyệt</t>
        </is>
      </c>
      <c r="F16" s="29" t="inlineStr">
        <is>
          <t>Bị chặn (chỉ sửa khi Nháp / Từ chối)</t>
        </is>
      </c>
      <c r="G16" s="7" t="n"/>
      <c r="H16" s="15" t="n"/>
      <c r="I16" s="14" t="n"/>
      <c r="J16" s="7" t="n"/>
      <c r="K16" s="14" t="n"/>
      <c r="L16" s="7" t="n"/>
      <c r="M16" s="7" t="n"/>
      <c r="N16" s="14" t="n"/>
      <c r="O16" s="7" t="n"/>
    </row>
    <row r="17">
      <c r="A17" s="28" t="inlineStr">
        <is>
          <t>MKT-010</t>
        </is>
      </c>
      <c r="B17" s="28" t="n">
        <v>2</v>
      </c>
      <c r="C17" s="29" t="inlineStr">
        <is>
          <t>Sự kiện</t>
        </is>
      </c>
      <c r="D17" s="28" t="inlineStr">
        <is>
          <t>Phát sinh</t>
        </is>
      </c>
      <c r="E17" s="29" t="inlineStr">
        <is>
          <t>Chưa cấu hình quy trình duyệt marketing, gửi duyệt</t>
        </is>
      </c>
      <c r="F17" s="29" t="inlineStr">
        <is>
          <t>Báo rõ, không lỗi trang</t>
        </is>
      </c>
      <c r="G17" s="7" t="n"/>
      <c r="H17" s="15" t="n"/>
      <c r="I17" s="14" t="n"/>
      <c r="J17" s="7" t="n"/>
      <c r="K17" s="14" t="n"/>
      <c r="L17" s="7" t="n"/>
      <c r="M17" s="7" t="n"/>
      <c r="N17" s="14" t="n"/>
      <c r="O17" s="7" t="n"/>
    </row>
    <row r="18">
      <c r="A18" s="12" t="inlineStr">
        <is>
          <t>MKT-011</t>
        </is>
      </c>
      <c r="B18" s="12" t="n">
        <v>2</v>
      </c>
      <c r="C18" s="10" t="inlineStr">
        <is>
          <t>Sự kiện</t>
        </is>
      </c>
      <c r="D18" s="12" t="inlineStr">
        <is>
          <t>Luồng chính</t>
        </is>
      </c>
      <c r="E18" s="10" t="inlineStr">
        <is>
          <t>Thêm / bỏ khách, cập nhật tham dự từng khách và hàng loạt</t>
        </is>
      </c>
      <c r="F18" s="10" t="inlineStr">
        <is>
          <t>Lưu đúng</t>
        </is>
      </c>
      <c r="G18" s="7" t="n"/>
      <c r="H18" s="15" t="n"/>
      <c r="I18" s="14" t="n"/>
      <c r="J18" s="7" t="n"/>
      <c r="K18" s="14" t="n"/>
      <c r="L18" s="7" t="n"/>
      <c r="M18" s="7" t="n"/>
      <c r="N18" s="14" t="n"/>
      <c r="O18" s="7" t="n"/>
    </row>
    <row r="19">
      <c r="A19" s="12" t="inlineStr">
        <is>
          <t>MKT-012</t>
        </is>
      </c>
      <c r="B19" s="12" t="n">
        <v>2</v>
      </c>
      <c r="C19" s="10" t="inlineStr">
        <is>
          <t>Sự kiện</t>
        </is>
      </c>
      <c r="D19" s="12" t="inlineStr">
        <is>
          <t>Luồng chính</t>
        </is>
      </c>
      <c r="E19" s="10" t="inlineStr">
        <is>
          <t>Tạo ticket phối hợp cho team khác</t>
        </is>
      </c>
      <c r="F19" s="10" t="inlineStr">
        <is>
          <t>Team đó nhận "Sự kiện … cần … phối hợp"</t>
        </is>
      </c>
      <c r="G19" s="7" t="n"/>
      <c r="H19" s="15" t="n"/>
      <c r="I19" s="14" t="n"/>
      <c r="J19" s="7" t="n"/>
      <c r="K19" s="14" t="n"/>
      <c r="L19" s="7" t="n"/>
      <c r="M19" s="7" t="n"/>
      <c r="N19" s="14" t="n"/>
      <c r="O19" s="7" t="n"/>
    </row>
    <row r="20">
      <c r="A20" s="28" t="inlineStr">
        <is>
          <t>MKT-013</t>
        </is>
      </c>
      <c r="B20" s="28" t="n">
        <v>2</v>
      </c>
      <c r="C20" s="29" t="inlineStr">
        <is>
          <t>Sự kiện</t>
        </is>
      </c>
      <c r="D20" s="28" t="inlineStr">
        <is>
          <t>Phát sinh</t>
        </is>
      </c>
      <c r="E20" s="29" t="inlineStr">
        <is>
          <t>Thiếu file Excel danh sách khách khi loại yêu cầu bắt buộc</t>
        </is>
      </c>
      <c r="F20" s="29" t="inlineStr">
        <is>
          <t>Bị chặn</t>
        </is>
      </c>
      <c r="G20" s="7" t="n"/>
      <c r="H20" s="15" t="n"/>
      <c r="I20" s="14" t="n"/>
      <c r="J20" s="7" t="n"/>
      <c r="K20" s="14" t="n"/>
      <c r="L20" s="7" t="n"/>
      <c r="M20" s="7" t="n"/>
      <c r="N20" s="14" t="n"/>
      <c r="O20" s="7" t="n"/>
    </row>
    <row r="21">
      <c r="A21" s="28" t="inlineStr">
        <is>
          <t>MKT-014</t>
        </is>
      </c>
      <c r="B21" s="28" t="n">
        <v>2</v>
      </c>
      <c r="C21" s="29" t="inlineStr">
        <is>
          <t>Sự kiện</t>
        </is>
      </c>
      <c r="D21" s="28" t="inlineStr">
        <is>
          <t>Phát sinh</t>
        </is>
      </c>
      <c r="E21" s="29" t="inlineStr">
        <is>
          <t>Hoàn thành sự kiện chưa duyệt</t>
        </is>
      </c>
      <c r="F21" s="29" t="inlineStr">
        <is>
          <t>Bị chặn</t>
        </is>
      </c>
      <c r="G21" s="7" t="n"/>
      <c r="H21" s="15" t="n"/>
      <c r="I21" s="14" t="n"/>
      <c r="J21" s="7" t="n"/>
      <c r="K21" s="14" t="n"/>
      <c r="L21" s="7" t="n"/>
      <c r="M21" s="7" t="n"/>
      <c r="N21" s="14" t="n"/>
      <c r="O21" s="7" t="n"/>
    </row>
    <row r="22">
      <c r="A22" s="12" t="inlineStr">
        <is>
          <t>MKT-015</t>
        </is>
      </c>
      <c r="B22" s="12" t="n">
        <v>2</v>
      </c>
      <c r="C22" s="10" t="inlineStr">
        <is>
          <t>Sự kiện</t>
        </is>
      </c>
      <c r="D22" s="12" t="inlineStr">
        <is>
          <t>Luồng chính</t>
        </is>
      </c>
      <c r="E22" s="10" t="inlineStr">
        <is>
          <t>Tạo dự án từ khách của sự kiện</t>
        </is>
      </c>
      <c r="F22" s="10" t="inlineStr">
        <is>
          <t>Dự án ghi nguồn "Dự án phát sinh từ sự kiện"</t>
        </is>
      </c>
      <c r="G22" s="7" t="n"/>
      <c r="H22" s="15" t="n"/>
      <c r="I22" s="14" t="n"/>
      <c r="J22" s="7" t="n"/>
      <c r="K22" s="14" t="n"/>
      <c r="L22" s="7" t="n"/>
      <c r="M22" s="7" t="n"/>
      <c r="N22" s="14" t="n"/>
      <c r="O22" s="7" t="n"/>
    </row>
    <row r="23">
      <c r="A23" s="27" t="inlineStr">
        <is>
          <t>BƯỚC 3: YÊU CẦU MARKETING (QUÀ, CÔNG TÁC, CHI PHÍ)</t>
        </is>
      </c>
    </row>
    <row r="24">
      <c r="A24" s="12" t="inlineStr">
        <is>
          <t>MKT-016</t>
        </is>
      </c>
      <c r="B24" s="12" t="n">
        <v>3</v>
      </c>
      <c r="C24" s="10" t="inlineStr">
        <is>
          <t>Yêu cầu quà</t>
        </is>
      </c>
      <c r="D24" s="12" t="inlineStr">
        <is>
          <t>Luồng chính</t>
        </is>
      </c>
      <c r="E24" s="10" t="inlineStr">
        <is>
          <t>Yêu cầu quà từ cơ hội → BOD duyệt → phân công → chấp nhận → phân bổ quà → bàn giao → Hoàn thành</t>
        </is>
      </c>
      <c r="F24" s="10" t="inlineStr">
        <is>
          <t>Mỗi bước đúng trạng thái, tồn vật phẩm giảm</t>
        </is>
      </c>
      <c r="G24" s="7" t="n"/>
      <c r="H24" s="15" t="n"/>
      <c r="I24" s="14" t="n"/>
      <c r="J24" s="7" t="n"/>
      <c r="K24" s="14" t="n"/>
      <c r="L24" s="7" t="n"/>
      <c r="M24" s="7" t="n"/>
      <c r="N24" s="14" t="n"/>
      <c r="O24" s="7" t="n"/>
    </row>
    <row r="25">
      <c r="A25" s="28" t="inlineStr">
        <is>
          <t>MKT-017</t>
        </is>
      </c>
      <c r="B25" s="28" t="n">
        <v>3</v>
      </c>
      <c r="C25" s="29" t="inlineStr">
        <is>
          <t>Yêu cầu quà</t>
        </is>
      </c>
      <c r="D25" s="28" t="inlineStr">
        <is>
          <t>Phát sinh</t>
        </is>
      </c>
      <c r="E25" s="29" t="inlineStr">
        <is>
          <t>Hoàn tác phân bổ quà; hoàn tác giao dịch không phải xuất quà</t>
        </is>
      </c>
      <c r="F25" s="29" t="inlineStr">
        <is>
          <t>Vật phẩm trả về kho; giao dịch khác: bị chặn</t>
        </is>
      </c>
      <c r="G25" s="7" t="n"/>
      <c r="H25" s="15" t="n"/>
      <c r="I25" s="14" t="n"/>
      <c r="J25" s="7" t="n"/>
      <c r="K25" s="14" t="n"/>
      <c r="L25" s="7" t="n"/>
      <c r="M25" s="7" t="n"/>
      <c r="N25" s="14" t="n"/>
      <c r="O25" s="7" t="n"/>
    </row>
    <row r="26">
      <c r="A26" s="28" t="inlineStr">
        <is>
          <t>MKT-018</t>
        </is>
      </c>
      <c r="B26" s="28" t="n">
        <v>3</v>
      </c>
      <c r="C26" s="29" t="inlineStr">
        <is>
          <t>Yêu cầu quà</t>
        </is>
      </c>
      <c r="D26" s="28" t="inlineStr">
        <is>
          <t>Phát sinh</t>
        </is>
      </c>
      <c r="E26" s="29" t="inlineStr">
        <is>
          <t>Phân bổ giao dịch thuộc cơ hội / sự kiện khác</t>
        </is>
      </c>
      <c r="F26" s="29" t="inlineStr">
        <is>
          <t>Bị chặn</t>
        </is>
      </c>
      <c r="G26" s="7" t="n"/>
      <c r="H26" s="15" t="n"/>
      <c r="I26" s="14" t="n"/>
      <c r="J26" s="7" t="n"/>
      <c r="K26" s="14" t="n"/>
      <c r="L26" s="7" t="n"/>
      <c r="M26" s="7" t="n"/>
      <c r="N26" s="14" t="n"/>
      <c r="O26" s="7" t="n"/>
    </row>
    <row r="27">
      <c r="A27" s="12" t="inlineStr">
        <is>
          <t>MKT-019</t>
        </is>
      </c>
      <c r="B27" s="12" t="n">
        <v>3</v>
      </c>
      <c r="C27" s="10" t="inlineStr">
        <is>
          <t>Yêu cầu quà</t>
        </is>
      </c>
      <c r="D27" s="12" t="inlineStr">
        <is>
          <t>Luồng chính</t>
        </is>
      </c>
      <c r="E27" s="10" t="inlineStr">
        <is>
          <t>Nhân sự nộp kết quả → Marketing duyệt / yêu cầu làm lại</t>
        </is>
      </c>
      <c r="F27" s="10" t="inlineStr">
        <is>
          <t>Hoàn thành hoặc quay lại thực hiện kèm lý do</t>
        </is>
      </c>
      <c r="G27" s="7" t="n"/>
      <c r="H27" s="15" t="n"/>
      <c r="I27" s="14" t="n"/>
      <c r="J27" s="7" t="n"/>
      <c r="K27" s="14" t="n"/>
      <c r="L27" s="7" t="n"/>
      <c r="M27" s="7" t="n"/>
      <c r="N27" s="14" t="n"/>
      <c r="O27" s="7" t="n"/>
    </row>
    <row r="28">
      <c r="A28" s="28" t="inlineStr">
        <is>
          <t>MKT-020</t>
        </is>
      </c>
      <c r="B28" s="28" t="n">
        <v>3</v>
      </c>
      <c r="C28" s="29" t="inlineStr">
        <is>
          <t>Yêu cầu quà</t>
        </is>
      </c>
      <c r="D28" s="28" t="inlineStr">
        <is>
          <t>Phát sinh</t>
        </is>
      </c>
      <c r="E28" s="29" t="inlineStr">
        <is>
          <t>Người không được gán nộp kết quả / cập nhật trạng thái</t>
        </is>
      </c>
      <c r="F28" s="29" t="inlineStr">
        <is>
          <t>Bị chặn</t>
        </is>
      </c>
      <c r="G28" s="7" t="n"/>
      <c r="H28" s="15" t="n"/>
      <c r="I28" s="14" t="n"/>
      <c r="J28" s="7" t="n"/>
      <c r="K28" s="14" t="n"/>
      <c r="L28" s="7" t="n"/>
      <c r="M28" s="7" t="n"/>
      <c r="N28" s="14" t="n"/>
      <c r="O28" s="7" t="n"/>
    </row>
    <row r="29">
      <c r="A29" s="12" t="inlineStr">
        <is>
          <t>MKT-021</t>
        </is>
      </c>
      <c r="B29" s="12" t="n">
        <v>3</v>
      </c>
      <c r="C29" s="10" t="inlineStr">
        <is>
          <t>Công tác</t>
        </is>
      </c>
      <c r="D29" s="12" t="inlineStr">
        <is>
          <t>Luồng chính</t>
        </is>
      </c>
      <c r="E29" s="10" t="inlineStr">
        <is>
          <t>Gửi yêu cầu đi công tác → BOD duyệt / từ chối</t>
        </is>
      </c>
      <c r="F29" s="10" t="inlineStr">
        <is>
          <t>Chỉ BOD thao tác được</t>
        </is>
      </c>
      <c r="G29" s="7" t="n"/>
      <c r="H29" s="15" t="n"/>
      <c r="I29" s="14" t="n"/>
      <c r="J29" s="7" t="n"/>
      <c r="K29" s="14" t="n"/>
      <c r="L29" s="7" t="n"/>
      <c r="M29" s="7" t="n"/>
      <c r="N29" s="14" t="n"/>
      <c r="O29" s="7" t="n"/>
    </row>
    <row r="30">
      <c r="A30" s="12" t="inlineStr">
        <is>
          <t>MKT-022</t>
        </is>
      </c>
      <c r="B30" s="12" t="n">
        <v>3</v>
      </c>
      <c r="C30" s="10" t="inlineStr">
        <is>
          <t>Chi phí</t>
        </is>
      </c>
      <c r="D30" s="12" t="inlineStr">
        <is>
          <t>Luồng chính</t>
        </is>
      </c>
      <c r="E30" s="10" t="inlineStr">
        <is>
          <t>Yêu cầu chi phí → BOD duyệt chi → KT xác nhận đã thanh toán</t>
        </is>
      </c>
      <c r="F30" s="10" t="inlineStr">
        <is>
          <t>"Chờ thanh toán" → hoàn tất</t>
        </is>
      </c>
      <c r="G30" s="7" t="n"/>
      <c r="H30" s="15" t="n"/>
      <c r="I30" s="14" t="n"/>
      <c r="J30" s="7" t="n"/>
      <c r="K30" s="14" t="n"/>
      <c r="L30" s="7" t="n"/>
      <c r="M30" s="7" t="n"/>
      <c r="N30" s="14" t="n"/>
      <c r="O30" s="7" t="n"/>
    </row>
    <row r="31">
      <c r="A31" s="28" t="inlineStr">
        <is>
          <t>MKT-023</t>
        </is>
      </c>
      <c r="B31" s="28" t="n">
        <v>3</v>
      </c>
      <c r="C31" s="29" t="inlineStr">
        <is>
          <t>Chi phí</t>
        </is>
      </c>
      <c r="D31" s="28" t="inlineStr">
        <is>
          <t>Phát sinh</t>
        </is>
      </c>
      <c r="E31" s="29" t="inlineStr">
        <is>
          <t>Người không phải KT xác nhận thanh toán</t>
        </is>
      </c>
      <c r="F31" s="29" t="inlineStr">
        <is>
          <t>Bị chặn</t>
        </is>
      </c>
      <c r="G31" s="7" t="n"/>
      <c r="H31" s="15" t="n"/>
      <c r="I31" s="14" t="n"/>
      <c r="J31" s="7" t="n"/>
      <c r="K31" s="14" t="n"/>
      <c r="L31" s="7" t="n"/>
      <c r="M31" s="7" t="n"/>
      <c r="N31" s="14" t="n"/>
      <c r="O31" s="7" t="n"/>
    </row>
    <row r="32">
      <c r="A32" s="28" t="inlineStr">
        <is>
          <t>MKT-024</t>
        </is>
      </c>
      <c r="B32" s="28" t="n">
        <v>3</v>
      </c>
      <c r="C32" s="29" t="inlineStr">
        <is>
          <t>Yêu cầu</t>
        </is>
      </c>
      <c r="D32" s="28" t="inlineStr">
        <is>
          <t>Phát sinh</t>
        </is>
      </c>
      <c r="E32" s="29" t="inlineStr">
        <is>
          <t>Để yêu cầu quá hạn</t>
        </is>
      </c>
      <c r="F32" s="29" t="inlineStr">
        <is>
          <t>Tự chuyển "Quá hạn"</t>
        </is>
      </c>
      <c r="G32" s="7" t="n"/>
      <c r="H32" s="15" t="n"/>
      <c r="I32" s="14" t="n"/>
      <c r="J32" s="7" t="n"/>
      <c r="K32" s="14" t="n"/>
      <c r="L32" s="7" t="n"/>
      <c r="M32" s="7" t="n"/>
      <c r="N32" s="14" t="n"/>
      <c r="O32" s="7" t="n"/>
    </row>
  </sheetData>
  <autoFilter ref="A5:O32"/>
  <mergeCells count="6">
    <mergeCell ref="A2:O2"/>
    <mergeCell ref="A13:O13"/>
    <mergeCell ref="A1:O1"/>
    <mergeCell ref="A23:O23"/>
    <mergeCell ref="A6:O6"/>
    <mergeCell ref="A3:O3"/>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O32"/>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QUẢN TRỊ HỆ THỐNG</t>
        </is>
      </c>
    </row>
    <row r="2" ht="16" customHeight="1">
      <c r="A2" s="21" t="inlineStr">
        <is>
          <t>Tài khoản test: Quản trị viên / Admin; 1 tài khoản không có quyền để thử truy cập trái phép</t>
        </is>
      </c>
    </row>
    <row r="3" ht="48" customHeight="1">
      <c r="A3" s="5" t="inlineStr">
        <is>
          <t>Quản trị hệ thống cấu hình nền cho mọi phòng: tài khoản và vai trò, ai được xem gì, quy trình duyệt nhiều cấp, thông tin công ty, email, sao lưu dữ liệu.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27" t="inlineStr">
        <is>
          <t>BƯỚC 1: NHÂN VIÊN &amp; TÀI KHOẢN</t>
        </is>
      </c>
    </row>
    <row r="7">
      <c r="A7" s="12" t="inlineStr">
        <is>
          <t>SYS-001</t>
        </is>
      </c>
      <c r="B7" s="12" t="n">
        <v>1</v>
      </c>
      <c r="C7" s="10" t="inlineStr">
        <is>
          <t>Nhân viên</t>
        </is>
      </c>
      <c r="D7" s="12" t="inlineStr">
        <is>
          <t>Luồng chính</t>
        </is>
      </c>
      <c r="E7" s="10" t="inlineStr">
        <is>
          <t>Tạo nhân viên</t>
        </is>
      </c>
      <c r="F7" s="10" t="inlineStr">
        <is>
          <t>Đăng nhập được, thấy đúng menu theo vai trò</t>
        </is>
      </c>
      <c r="G7" s="7" t="n"/>
      <c r="H7" s="15" t="n"/>
      <c r="I7" s="14" t="n"/>
      <c r="J7" s="7" t="n"/>
      <c r="K7" s="14" t="n"/>
      <c r="L7" s="7" t="n"/>
      <c r="M7" s="7" t="n"/>
      <c r="N7" s="14" t="n"/>
      <c r="O7" s="7" t="n"/>
    </row>
    <row r="8">
      <c r="A8" s="12" t="inlineStr">
        <is>
          <t>SYS-002</t>
        </is>
      </c>
      <c r="B8" s="12" t="n">
        <v>1</v>
      </c>
      <c r="C8" s="10" t="inlineStr">
        <is>
          <t>Nhân viên</t>
        </is>
      </c>
      <c r="D8" s="12" t="inlineStr">
        <is>
          <t>Luồng chính</t>
        </is>
      </c>
      <c r="E8" s="10" t="inlineStr">
        <is>
          <t>Import nhân viên từ Excel</t>
        </is>
      </c>
      <c r="F8" s="10" t="inlineStr">
        <is>
          <t>Báo số thêm / cập nhật / lỗi</t>
        </is>
      </c>
      <c r="G8" s="7" t="n"/>
      <c r="H8" s="15" t="n"/>
      <c r="I8" s="14" t="n"/>
      <c r="J8" s="7" t="n"/>
      <c r="K8" s="14" t="n"/>
      <c r="L8" s="7" t="n"/>
      <c r="M8" s="7" t="n"/>
      <c r="N8" s="14" t="n"/>
      <c r="O8" s="7" t="n"/>
    </row>
    <row r="9">
      <c r="A9" s="28" t="inlineStr">
        <is>
          <t>SYS-003</t>
        </is>
      </c>
      <c r="B9" s="28" t="n">
        <v>1</v>
      </c>
      <c r="C9" s="29" t="inlineStr">
        <is>
          <t>Nhân viên</t>
        </is>
      </c>
      <c r="D9" s="28" t="inlineStr">
        <is>
          <t>Phát sinh</t>
        </is>
      </c>
      <c r="E9" s="29" t="inlineStr">
        <is>
          <t>Import file sai định dạng hoặc &gt; 10MB</t>
        </is>
      </c>
      <c r="F9" s="29" t="inlineStr">
        <is>
          <t>Bị chặn</t>
        </is>
      </c>
      <c r="G9" s="7" t="n"/>
      <c r="H9" s="15" t="n"/>
      <c r="I9" s="14" t="n"/>
      <c r="J9" s="7" t="n"/>
      <c r="K9" s="14" t="n"/>
      <c r="L9" s="7" t="n"/>
      <c r="M9" s="7" t="n"/>
      <c r="N9" s="14" t="n"/>
      <c r="O9" s="7" t="n"/>
    </row>
    <row r="10">
      <c r="A10" s="12" t="inlineStr">
        <is>
          <t>SYS-004</t>
        </is>
      </c>
      <c r="B10" s="12" t="n">
        <v>1</v>
      </c>
      <c r="C10" s="10" t="inlineStr">
        <is>
          <t>Nhân viên</t>
        </is>
      </c>
      <c r="D10" s="12" t="inlineStr">
        <is>
          <t>Luồng chính</t>
        </is>
      </c>
      <c r="E10" s="10" t="inlineStr">
        <is>
          <t>Gán vai trò hàng loạt</t>
        </is>
      </c>
      <c r="F10" s="10" t="inlineStr">
        <is>
          <t>Vai trò áp đúng cho người được chọn</t>
        </is>
      </c>
      <c r="G10" s="7" t="n"/>
      <c r="H10" s="15" t="n"/>
      <c r="I10" s="14" t="n"/>
      <c r="J10" s="7" t="n"/>
      <c r="K10" s="14" t="n"/>
      <c r="L10" s="7" t="n"/>
      <c r="M10" s="7" t="n"/>
      <c r="N10" s="14" t="n"/>
      <c r="O10" s="7" t="n"/>
    </row>
    <row r="11">
      <c r="A11" s="28" t="inlineStr">
        <is>
          <t>SYS-005</t>
        </is>
      </c>
      <c r="B11" s="28" t="n">
        <v>1</v>
      </c>
      <c r="C11" s="29" t="inlineStr">
        <is>
          <t>Nhân viên</t>
        </is>
      </c>
      <c r="D11" s="28" t="inlineStr">
        <is>
          <t>Phát sinh</t>
        </is>
      </c>
      <c r="E11" s="29" t="inlineStr">
        <is>
          <t>Gán hàng loạt không chọn nhân viên / vai trò</t>
        </is>
      </c>
      <c r="F11" s="29" t="inlineStr">
        <is>
          <t>Báo bắt buộc</t>
        </is>
      </c>
      <c r="G11" s="7" t="n"/>
      <c r="H11" s="15" t="n"/>
      <c r="I11" s="14" t="n"/>
      <c r="J11" s="7" t="n"/>
      <c r="K11" s="14" t="n"/>
      <c r="L11" s="7" t="n"/>
      <c r="M11" s="7" t="n"/>
      <c r="N11" s="14" t="n"/>
      <c r="O11" s="7" t="n"/>
    </row>
    <row r="12">
      <c r="A12" s="12" t="inlineStr">
        <is>
          <t>SYS-006</t>
        </is>
      </c>
      <c r="B12" s="12" t="n">
        <v>1</v>
      </c>
      <c r="C12" s="10" t="inlineStr">
        <is>
          <t>Nhân viên</t>
        </is>
      </c>
      <c r="D12" s="12" t="inlineStr">
        <is>
          <t>Luồng chính</t>
        </is>
      </c>
      <c r="E12" s="10" t="inlineStr">
        <is>
          <t>Khóa tài khoản; mở khóa</t>
        </is>
      </c>
      <c r="F12" s="10" t="inlineStr">
        <is>
          <t>Khóa: không đăng nhập được, không xuất hiện khi phân công. Mở: dùng lại bình thường</t>
        </is>
      </c>
      <c r="G12" s="7" t="n"/>
      <c r="H12" s="15" t="n"/>
      <c r="I12" s="14" t="n"/>
      <c r="J12" s="7" t="n"/>
      <c r="K12" s="14" t="n"/>
      <c r="L12" s="7" t="n"/>
      <c r="M12" s="7" t="n"/>
      <c r="N12" s="14" t="n"/>
      <c r="O12" s="7" t="n"/>
    </row>
    <row r="13">
      <c r="A13" s="28" t="inlineStr">
        <is>
          <t>SYS-007</t>
        </is>
      </c>
      <c r="B13" s="28" t="n">
        <v>1</v>
      </c>
      <c r="C13" s="29" t="inlineStr">
        <is>
          <t>Nhân viên</t>
        </is>
      </c>
      <c r="D13" s="28" t="inlineStr">
        <is>
          <t>Phát sinh</t>
        </is>
      </c>
      <c r="E13" s="29" t="inlineStr">
        <is>
          <t>Xóa tài khoản Quản trị viên hệ thống</t>
        </is>
      </c>
      <c r="F13" s="29" t="inlineStr">
        <is>
          <t>Bị chặn</t>
        </is>
      </c>
      <c r="G13" s="7" t="n"/>
      <c r="H13" s="15" t="n"/>
      <c r="I13" s="14" t="n"/>
      <c r="J13" s="7" t="n"/>
      <c r="K13" s="14" t="n"/>
      <c r="L13" s="7" t="n"/>
      <c r="M13" s="7" t="n"/>
      <c r="N13" s="14" t="n"/>
      <c r="O13" s="7" t="n"/>
    </row>
    <row r="14">
      <c r="A14" s="28" t="inlineStr">
        <is>
          <t>SYS-008</t>
        </is>
      </c>
      <c r="B14" s="28" t="n">
        <v>1</v>
      </c>
      <c r="C14" s="29" t="inlineStr">
        <is>
          <t>Nhân viên</t>
        </is>
      </c>
      <c r="D14" s="28" t="inlineStr">
        <is>
          <t>Phát sinh</t>
        </is>
      </c>
      <c r="E14" s="29" t="inlineStr">
        <is>
          <t>Nhân viên nghỉ đang phụ trách đơn / dự án</t>
        </is>
      </c>
      <c r="F14" s="29" t="inlineStr">
        <is>
          <t>Dữ liệu cũ vẫn hiện tên, chuyển giao được</t>
        </is>
      </c>
      <c r="G14" s="7" t="n"/>
      <c r="H14" s="15" t="n"/>
      <c r="I14" s="14" t="n"/>
      <c r="J14" s="7" t="n"/>
      <c r="K14" s="14" t="n"/>
      <c r="L14" s="7" t="n"/>
      <c r="M14" s="7" t="n"/>
      <c r="N14" s="14" t="n"/>
      <c r="O14" s="7" t="n"/>
    </row>
    <row r="15">
      <c r="A15" s="27" t="inlineStr">
        <is>
          <t>BƯỚC 2: PHÂN QUYỀN</t>
        </is>
      </c>
    </row>
    <row r="16">
      <c r="A16" s="12" t="inlineStr">
        <is>
          <t>SYS-009</t>
        </is>
      </c>
      <c r="B16" s="12" t="n">
        <v>2</v>
      </c>
      <c r="C16" s="10" t="inlineStr">
        <is>
          <t>Phân quyền</t>
        </is>
      </c>
      <c r="D16" s="12" t="inlineStr">
        <is>
          <t>Luồng chính</t>
        </is>
      </c>
      <c r="E16" s="10" t="inlineStr">
        <is>
          <t>Tạo vai trò, tick quyền trên ma trận</t>
        </is>
      </c>
      <c r="F16" s="10" t="inlineStr">
        <is>
          <t>Người có vai trò thấy / mất menu và nút sau khi đăng nhập lại</t>
        </is>
      </c>
      <c r="G16" s="7" t="n"/>
      <c r="H16" s="15" t="n"/>
      <c r="I16" s="14" t="n"/>
      <c r="J16" s="7" t="n"/>
      <c r="K16" s="14" t="n"/>
      <c r="L16" s="7" t="n"/>
      <c r="M16" s="7" t="n"/>
      <c r="N16" s="14" t="n"/>
      <c r="O16" s="7" t="n"/>
    </row>
    <row r="17">
      <c r="A17" s="12" t="inlineStr">
        <is>
          <t>SYS-010</t>
        </is>
      </c>
      <c r="B17" s="12" t="n">
        <v>2</v>
      </c>
      <c r="C17" s="10" t="inlineStr">
        <is>
          <t>Phân quyền</t>
        </is>
      </c>
      <c r="D17" s="12" t="inlineStr">
        <is>
          <t>Luồng chính</t>
        </is>
      </c>
      <c r="E17" s="10" t="inlineStr">
        <is>
          <t>Gán quyền trực tiếp cho 1 người, thu hồi</t>
        </is>
      </c>
      <c r="F17" s="10" t="inlineStr">
        <is>
          <t>Có hiệu lực đúng</t>
        </is>
      </c>
      <c r="G17" s="7" t="n"/>
      <c r="H17" s="15" t="n"/>
      <c r="I17" s="14" t="n"/>
      <c r="J17" s="7" t="n"/>
      <c r="K17" s="14" t="n"/>
      <c r="L17" s="7" t="n"/>
      <c r="M17" s="7" t="n"/>
      <c r="N17" s="14" t="n"/>
      <c r="O17" s="7" t="n"/>
    </row>
    <row r="18">
      <c r="A18" s="12" t="inlineStr">
        <is>
          <t>SYS-011</t>
        </is>
      </c>
      <c r="B18" s="12" t="n">
        <v>2</v>
      </c>
      <c r="C18" s="10" t="inlineStr">
        <is>
          <t>Phân quyền</t>
        </is>
      </c>
      <c r="D18" s="12" t="inlineStr">
        <is>
          <t>Luồng chính</t>
        </is>
      </c>
      <c r="E18" s="10" t="inlineStr">
        <is>
          <t>Kiểm 3 mức xem own / group / all cho báo giá, đơn hàng, PO</t>
        </is>
      </c>
      <c r="F18" s="10" t="inlineStr">
        <is>
          <t>Mỗi mức thấy đúng phạm vi</t>
        </is>
      </c>
      <c r="G18" s="7" t="n"/>
      <c r="H18" s="15" t="n"/>
      <c r="I18" s="14" t="n"/>
      <c r="J18" s="7" t="n"/>
      <c r="K18" s="14" t="n"/>
      <c r="L18" s="7" t="n"/>
      <c r="M18" s="7" t="n"/>
      <c r="N18" s="14" t="n"/>
      <c r="O18" s="7" t="n"/>
    </row>
    <row r="19">
      <c r="A19" s="12" t="inlineStr">
        <is>
          <t>SYS-012</t>
        </is>
      </c>
      <c r="B19" s="12" t="n">
        <v>2</v>
      </c>
      <c r="C19" s="10" t="inlineStr">
        <is>
          <t>Phân quyền</t>
        </is>
      </c>
      <c r="D19" s="12" t="inlineStr">
        <is>
          <t>Luồng chính</t>
        </is>
      </c>
      <c r="E19" s="10" t="inlineStr">
        <is>
          <t>Tạo nhóm, chỉ định Lead</t>
        </is>
      </c>
      <c r="F19" s="10" t="inlineStr">
        <is>
          <t>Lead thấy dữ liệu thành viên nhóm</t>
        </is>
      </c>
      <c r="G19" s="7" t="n"/>
      <c r="H19" s="15" t="n"/>
      <c r="I19" s="14" t="n"/>
      <c r="J19" s="7" t="n"/>
      <c r="K19" s="14" t="n"/>
      <c r="L19" s="7" t="n"/>
      <c r="M19" s="7" t="n"/>
      <c r="N19" s="14" t="n"/>
      <c r="O19" s="7" t="n"/>
    </row>
    <row r="20">
      <c r="A20" s="28" t="inlineStr">
        <is>
          <t>SYS-013</t>
        </is>
      </c>
      <c r="B20" s="28" t="n">
        <v>2</v>
      </c>
      <c r="C20" s="29" t="inlineStr">
        <is>
          <t>Phân quyền</t>
        </is>
      </c>
      <c r="D20" s="28" t="inlineStr">
        <is>
          <t>Phát sinh</t>
        </is>
      </c>
      <c r="E20" s="29" t="inlineStr">
        <is>
          <t>Tài khoản không có quyền gõ thẳng URL trang quản trị / trang duyệt</t>
        </is>
      </c>
      <c r="F20" s="29" t="inlineStr">
        <is>
          <t>403, không lộ dữ liệu</t>
        </is>
      </c>
      <c r="G20" s="7" t="n"/>
      <c r="H20" s="15" t="n"/>
      <c r="I20" s="14" t="n"/>
      <c r="J20" s="7" t="n"/>
      <c r="K20" s="14" t="n"/>
      <c r="L20" s="7" t="n"/>
      <c r="M20" s="7" t="n"/>
      <c r="N20" s="14" t="n"/>
      <c r="O20" s="7" t="n"/>
    </row>
    <row r="21">
      <c r="A21" s="27" t="inlineStr">
        <is>
          <t>BƯỚC 3: QUY TRÌNH DUYỆT</t>
        </is>
      </c>
    </row>
    <row r="22">
      <c r="A22" s="12" t="inlineStr">
        <is>
          <t>SYS-014</t>
        </is>
      </c>
      <c r="B22" s="12" t="n">
        <v>3</v>
      </c>
      <c r="C22" s="10" t="inlineStr">
        <is>
          <t>Quy trình duyệt</t>
        </is>
      </c>
      <c r="D22" s="12" t="inlineStr">
        <is>
          <t>Luồng chính</t>
        </is>
      </c>
      <c r="E22" s="10" t="inlineStr">
        <is>
          <t>Mở quy trình P&amp;L &amp; Hợp đồng</t>
        </is>
      </c>
      <c r="F22" s="10" t="inlineStr">
        <is>
          <t>Cấp 1 Legal Team, cấp 2 BOD</t>
        </is>
      </c>
      <c r="G22" s="7" t="n"/>
      <c r="H22" s="15" t="n"/>
      <c r="I22" s="14" t="n"/>
      <c r="J22" s="7" t="n"/>
      <c r="K22" s="14" t="n"/>
      <c r="L22" s="7" t="n"/>
      <c r="M22" s="7" t="n"/>
      <c r="N22" s="14" t="n"/>
      <c r="O22" s="7" t="n"/>
    </row>
    <row r="23">
      <c r="A23" s="12" t="inlineStr">
        <is>
          <t>SYS-015</t>
        </is>
      </c>
      <c r="B23" s="12" t="n">
        <v>3</v>
      </c>
      <c r="C23" s="10" t="inlineStr">
        <is>
          <t>Quy trình duyệt</t>
        </is>
      </c>
      <c r="D23" s="12" t="inlineStr">
        <is>
          <t>Luồng chính</t>
        </is>
      </c>
      <c r="E23" s="10" t="inlineStr">
        <is>
          <t>Đổi người duyệt / thêm cấp, rồi tạo đơn mới</t>
        </is>
      </c>
      <c r="F23" s="10" t="inlineStr">
        <is>
          <t>Đơn mới đi đúng cấu hình mới</t>
        </is>
      </c>
      <c r="G23" s="7" t="n"/>
      <c r="H23" s="15" t="n"/>
      <c r="I23" s="14" t="n"/>
      <c r="J23" s="7" t="n"/>
      <c r="K23" s="14" t="n"/>
      <c r="L23" s="7" t="n"/>
      <c r="M23" s="7" t="n"/>
      <c r="N23" s="14" t="n"/>
      <c r="O23" s="7" t="n"/>
    </row>
    <row r="24">
      <c r="A24" s="28" t="inlineStr">
        <is>
          <t>SYS-016</t>
        </is>
      </c>
      <c r="B24" s="28" t="n">
        <v>3</v>
      </c>
      <c r="C24" s="29" t="inlineStr">
        <is>
          <t>Quy trình duyệt</t>
        </is>
      </c>
      <c r="D24" s="28" t="inlineStr">
        <is>
          <t>Phát sinh</t>
        </is>
      </c>
      <c r="E24" s="29" t="inlineStr">
        <is>
          <t>Tắt quy trình</t>
        </is>
      </c>
      <c r="F24" s="29" t="inlineStr">
        <is>
          <t>Chuyển duyệt thủ công như mô tả, không lỗi</t>
        </is>
      </c>
      <c r="G24" s="7" t="n"/>
      <c r="H24" s="15" t="n"/>
      <c r="I24" s="14" t="n"/>
      <c r="J24" s="7" t="n"/>
      <c r="K24" s="14" t="n"/>
      <c r="L24" s="7" t="n"/>
      <c r="M24" s="7" t="n"/>
      <c r="N24" s="14" t="n"/>
      <c r="O24" s="7" t="n"/>
    </row>
    <row r="25">
      <c r="A25" s="27" t="inlineStr">
        <is>
          <t>BƯỚC 4: CÀI ĐẶT</t>
        </is>
      </c>
    </row>
    <row r="26">
      <c r="A26" s="12" t="inlineStr">
        <is>
          <t>SYS-017</t>
        </is>
      </c>
      <c r="B26" s="12" t="n">
        <v>4</v>
      </c>
      <c r="C26" s="10" t="inlineStr">
        <is>
          <t>Cài đặt</t>
        </is>
      </c>
      <c r="D26" s="12" t="inlineStr">
        <is>
          <t>Luồng chính</t>
        </is>
      </c>
      <c r="E26" s="10" t="inlineStr">
        <is>
          <t>Cập nhật thông tin công ty</t>
        </is>
      </c>
      <c r="F26" s="10" t="inlineStr">
        <is>
          <t>Hiện trên báo giá, PO, phiếu in</t>
        </is>
      </c>
      <c r="G26" s="7" t="n"/>
      <c r="H26" s="15" t="n"/>
      <c r="I26" s="14" t="n"/>
      <c r="J26" s="7" t="n"/>
      <c r="K26" s="14" t="n"/>
      <c r="L26" s="7" t="n"/>
      <c r="M26" s="7" t="n"/>
      <c r="N26" s="14" t="n"/>
      <c r="O26" s="7" t="n"/>
    </row>
    <row r="27">
      <c r="A27" s="12" t="inlineStr">
        <is>
          <t>SYS-018</t>
        </is>
      </c>
      <c r="B27" s="12" t="n">
        <v>4</v>
      </c>
      <c r="C27" s="10" t="inlineStr">
        <is>
          <t>Cài đặt</t>
        </is>
      </c>
      <c r="D27" s="12" t="inlineStr">
        <is>
          <t>Luồng chính</t>
        </is>
      </c>
      <c r="E27" s="10" t="inlineStr">
        <is>
          <t>Cấu hình email, gửi thử</t>
        </is>
      </c>
      <c r="F27" s="10" t="inlineStr">
        <is>
          <t>Nhận được mail</t>
        </is>
      </c>
      <c r="G27" s="7" t="n"/>
      <c r="H27" s="15" t="n"/>
      <c r="I27" s="14" t="n"/>
      <c r="J27" s="7" t="n"/>
      <c r="K27" s="14" t="n"/>
      <c r="L27" s="7" t="n"/>
      <c r="M27" s="7" t="n"/>
      <c r="N27" s="14" t="n"/>
      <c r="O27" s="7" t="n"/>
    </row>
    <row r="28">
      <c r="A28" s="28" t="inlineStr">
        <is>
          <t>SYS-019</t>
        </is>
      </c>
      <c r="B28" s="28" t="n">
        <v>4</v>
      </c>
      <c r="C28" s="29" t="inlineStr">
        <is>
          <t>Cài đặt</t>
        </is>
      </c>
      <c r="D28" s="28" t="inlineStr">
        <is>
          <t>Phát sinh</t>
        </is>
      </c>
      <c r="E28" s="29" t="inlineStr">
        <is>
          <t>Cấu hình email sai rồi gửi thử</t>
        </is>
      </c>
      <c r="F28" s="29" t="inlineStr">
        <is>
          <t>Báo lỗi rõ</t>
        </is>
      </c>
      <c r="G28" s="7" t="n"/>
      <c r="H28" s="15" t="n"/>
      <c r="I28" s="14" t="n"/>
      <c r="J28" s="7" t="n"/>
      <c r="K28" s="14" t="n"/>
      <c r="L28" s="7" t="n"/>
      <c r="M28" s="7" t="n"/>
      <c r="N28" s="14" t="n"/>
      <c r="O28" s="7" t="n"/>
    </row>
    <row r="29">
      <c r="A29" s="27" t="inlineStr">
        <is>
          <t>BƯỚC 5: VẬN HÀNH HỆ THỐNG</t>
        </is>
      </c>
    </row>
    <row r="30">
      <c r="A30" s="12" t="inlineStr">
        <is>
          <t>SYS-020</t>
        </is>
      </c>
      <c r="B30" s="12" t="n">
        <v>5</v>
      </c>
      <c r="C30" s="10" t="inlineStr">
        <is>
          <t>Dữ liệu</t>
        </is>
      </c>
      <c r="D30" s="12" t="inlineStr">
        <is>
          <t>Luồng chính</t>
        </is>
      </c>
      <c r="E30" s="10" t="inlineStr">
        <is>
          <t>Sao lưu CSDL, tải file; phục hồi trên môi trường test; lưu trữ dữ liệu cũ</t>
        </is>
      </c>
      <c r="F30" s="10" t="inlineStr">
        <is>
          <t>File tải được; phục hồi đúng thời điểm sao lưu</t>
        </is>
      </c>
      <c r="G30" s="7" t="n"/>
      <c r="H30" s="15" t="n"/>
      <c r="I30" s="14" t="n"/>
      <c r="J30" s="7" t="n"/>
      <c r="K30" s="14" t="n"/>
      <c r="L30" s="7" t="n"/>
      <c r="M30" s="7" t="n"/>
      <c r="N30" s="14" t="n"/>
      <c r="O30" s="7" t="n"/>
    </row>
    <row r="31">
      <c r="A31" s="12" t="inlineStr">
        <is>
          <t>SYS-021</t>
        </is>
      </c>
      <c r="B31" s="12" t="n">
        <v>5</v>
      </c>
      <c r="C31" s="10" t="inlineStr">
        <is>
          <t>Nhật ký</t>
        </is>
      </c>
      <c r="D31" s="12" t="inlineStr">
        <is>
          <t>Luồng chính</t>
        </is>
      </c>
      <c r="E31" s="10" t="inlineStr">
        <is>
          <t>Mở Nhật ký hoạt động sau các thao tác ở các sheet khác</t>
        </is>
      </c>
      <c r="F31" s="10" t="inlineStr">
        <is>
          <t>Ghi đủ ai, lúc nào, thay đổi gì</t>
        </is>
      </c>
      <c r="G31" s="7" t="n"/>
      <c r="H31" s="15" t="n"/>
      <c r="I31" s="14" t="n"/>
      <c r="J31" s="7" t="n"/>
      <c r="K31" s="14" t="n"/>
      <c r="L31" s="7" t="n"/>
      <c r="M31" s="7" t="n"/>
      <c r="N31" s="14" t="n"/>
      <c r="O31" s="7" t="n"/>
    </row>
    <row r="32">
      <c r="A32" s="12" t="inlineStr">
        <is>
          <t>SYS-022</t>
        </is>
      </c>
      <c r="B32" s="12" t="n">
        <v>5</v>
      </c>
      <c r="C32" s="10" t="inlineStr">
        <is>
          <t>Hướng dẫn</t>
        </is>
      </c>
      <c r="D32" s="12" t="inlineStr">
        <is>
          <t>Luồng chính</t>
        </is>
      </c>
      <c r="E32" s="10" t="inlineStr">
        <is>
          <t>Upload tài liệu hướng dẫn, người dùng tải về</t>
        </is>
      </c>
      <c r="F32" s="10" t="inlineStr">
        <is>
          <t>Tải được</t>
        </is>
      </c>
      <c r="G32" s="7" t="n"/>
      <c r="H32" s="15" t="n"/>
      <c r="I32" s="14" t="n"/>
      <c r="J32" s="7" t="n"/>
      <c r="K32" s="14" t="n"/>
      <c r="L32" s="7" t="n"/>
      <c r="M32" s="7" t="n"/>
      <c r="N32" s="14" t="n"/>
      <c r="O32" s="7" t="n"/>
    </row>
  </sheetData>
  <autoFilter ref="A5:O32"/>
  <mergeCells count="8">
    <mergeCell ref="A15:O15"/>
    <mergeCell ref="A29:O29"/>
    <mergeCell ref="A25:O25"/>
    <mergeCell ref="A2:O2"/>
    <mergeCell ref="A1:O1"/>
    <mergeCell ref="A6:O6"/>
    <mergeCell ref="A3:O3"/>
    <mergeCell ref="A21:O21"/>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O13"/>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12" customWidth="1" min="4" max="4"/>
    <col width="46" customWidth="1" min="5" max="5"/>
    <col width="42" customWidth="1" min="6" max="6"/>
    <col width="14" customWidth="1" min="7" max="7"/>
    <col width="12" customWidth="1" min="8" max="8"/>
    <col width="12" customWidth="1" min="9" max="9"/>
    <col width="46" customWidth="1" min="10" max="10"/>
    <col width="13" customWidth="1" min="11" max="11"/>
    <col width="26" customWidth="1" min="12" max="12"/>
    <col width="30" customWidth="1" min="13" max="13"/>
    <col width="16" customWidth="1" min="14" max="14"/>
    <col width="22" customWidth="1" min="15" max="15"/>
  </cols>
  <sheetData>
    <row r="1" ht="24" customHeight="1">
      <c r="A1" s="8" t="inlineStr">
        <is>
          <t>CHECKLIST NGHIỆM THU – KỊCH BẢN LIÊN PHÒNG BAN (END-TO-END)</t>
        </is>
      </c>
    </row>
    <row r="2" ht="16" customHeight="1">
      <c r="A2" s="21" t="inlineStr">
        <is>
          <t>Tài khoản test: Mỗi phòng dùng tài khoản của mình, chạy trên cùng 1 đơn hàng thật</t>
        </is>
      </c>
    </row>
    <row r="3" ht="48" customHeight="1">
      <c r="A3" s="5" t="inlineStr">
        <is>
          <t>Các sheet trước kiểm từng vai trò. Sheet này chạy một đơn hàng từ đầu đến cuối để kiểm chỗ bàn giao giữa các phòng: mỗi lần chuyển tay, người nhận phải thấy việc trong danh sách của mình và nhận thông báo. Hai cổng chặn do Kế toán giữ: UNC đợt trước đặt hàng (trước PO) và hóa đơn + UNC trước xuất (trước xuất kho).  →  Workflow từng bước (ai làm, vào menu nào, kết quả) xem ở sheet "Workflow". Cột "Bước" dưới đây khớp số bước trong Workflow.</t>
        </is>
      </c>
    </row>
    <row r="5" ht="42" customHeight="1">
      <c r="A5" s="9" t="inlineStr">
        <is>
          <t>Mã TC</t>
        </is>
      </c>
      <c r="B5" s="9" t="inlineStr">
        <is>
          <t>Bước</t>
        </is>
      </c>
      <c r="C5" s="9" t="inlineStr">
        <is>
          <t>Chức năng</t>
        </is>
      </c>
      <c r="D5" s="9" t="inlineStr">
        <is>
          <t>Loại</t>
        </is>
      </c>
      <c r="E5" s="9" t="inlineStr">
        <is>
          <t>Tình huống / Thao tác</t>
        </is>
      </c>
      <c r="F5" s="9" t="inlineStr">
        <is>
          <t>Kết quả mong đợi</t>
        </is>
      </c>
      <c r="G5" s="9" t="inlineStr">
        <is>
          <t>Người test</t>
        </is>
      </c>
      <c r="H5" s="9" t="inlineStr">
        <is>
          <t>Ngày test</t>
        </is>
      </c>
      <c r="I5" s="9" t="inlineStr">
        <is>
          <t>Kết quả</t>
        </is>
      </c>
      <c r="J5" s="9" t="inlineStr">
        <is>
          <t>Kết quả thực tế / Mô tả lỗi
(bắt buộc khi Không đạt / Bị chặn)</t>
        </is>
      </c>
      <c r="K5" s="9" t="inlineStr">
        <is>
          <t>Mức độ lỗi</t>
        </is>
      </c>
      <c r="L5" s="9" t="inlineStr">
        <is>
          <t>Bằng chứng
(ảnh, mã chứng từ, tài khoản)</t>
        </is>
      </c>
      <c r="M5" s="9" t="inlineStr">
        <is>
          <t>Dev phản hồi</t>
        </is>
      </c>
      <c r="N5" s="9" t="inlineStr">
        <is>
          <t>Trạng thái xử lý</t>
        </is>
      </c>
      <c r="O5" s="9" t="inlineStr">
        <is>
          <t>Ghi chú</t>
        </is>
      </c>
    </row>
    <row r="6">
      <c r="A6" s="12" t="inlineStr">
        <is>
          <t>E2E-001</t>
        </is>
      </c>
      <c r="B6" s="12" t="inlineStr">
        <is>
          <t>1–10</t>
        </is>
      </c>
      <c r="C6" s="10" t="inlineStr">
        <is>
          <t>Kịch bản A – Đơn chuẩn</t>
        </is>
      </c>
      <c r="D6" s="12" t="inlineStr">
        <is>
          <t>Luồng chính</t>
        </is>
      </c>
      <c r="E6" s="10" t="inlineStr">
        <is>
          <t>Khách mới (thêm nhanh trên báo giá) → báo giá → SO → P&amp;L duyệt → đặt hàng → PO → nhập kho → HĐ → xuất kho → thu đủ</t>
        </is>
      </c>
      <c r="F6" s="10" t="inlineStr">
        <is>
          <t>SO "Hoàn thành", công nợ khách = 0, tồn kho về đúng số trước khi nhập</t>
        </is>
      </c>
      <c r="G6" s="7" t="n"/>
      <c r="H6" s="15" t="n"/>
      <c r="I6" s="14" t="n"/>
      <c r="J6" s="7" t="n"/>
      <c r="K6" s="14" t="n"/>
      <c r="L6" s="7" t="n"/>
      <c r="M6" s="7" t="n"/>
      <c r="N6" s="14" t="n"/>
      <c r="O6" s="7" t="n"/>
    </row>
    <row r="7">
      <c r="A7" s="12" t="inlineStr">
        <is>
          <t>E2E-002</t>
        </is>
      </c>
      <c r="B7" s="12" t="inlineStr">
        <is>
          <t>1–3, 6–10</t>
        </is>
      </c>
      <c r="C7" s="10" t="inlineStr">
        <is>
          <t>Kịch bản B – Hàng có sẵn Kho runrate</t>
        </is>
      </c>
      <c r="D7" s="12" t="inlineStr">
        <is>
          <t>Luồng chính</t>
        </is>
      </c>
      <c r="E7" s="10" t="inlineStr">
        <is>
          <t>Giữ hàng → SO → bỏ qua đặt hàng → xuất kho bằng S/N khác cùng model</t>
        </is>
      </c>
      <c r="F7" s="10" t="inlineStr">
        <is>
          <t>Suất giữ đúng, tồn khả dụng đúng</t>
        </is>
      </c>
      <c r="G7" s="7" t="n"/>
      <c r="H7" s="15" t="n"/>
      <c r="I7" s="14" t="n"/>
      <c r="J7" s="7" t="n"/>
      <c r="K7" s="14" t="n"/>
      <c r="L7" s="7" t="n"/>
      <c r="M7" s="7" t="n"/>
      <c r="N7" s="14" t="n"/>
      <c r="O7" s="7" t="n"/>
    </row>
    <row r="8">
      <c r="A8" s="28" t="inlineStr">
        <is>
          <t>E2E-003</t>
        </is>
      </c>
      <c r="B8" s="28" t="inlineStr">
        <is>
          <t>2–5</t>
        </is>
      </c>
      <c r="C8" s="29" t="inlineStr">
        <is>
          <t>Kịch bản C – Bị trả về giữa chừng</t>
        </is>
      </c>
      <c r="D8" s="28" t="inlineStr">
        <is>
          <t>Phát sinh</t>
        </is>
      </c>
      <c r="E8" s="29" t="inlineStr">
        <is>
          <t>Admin trả yêu cầu đặt hàng → Sales sửa P&amp;L → duyệt lại → PO Team hủy 1 sản phẩm → P&amp;L mở lại → hoàn tất</t>
        </is>
      </c>
      <c r="F8" s="29" t="inlineStr">
        <is>
          <t>Lịch sử SO ghi đủ mọi lần trả về</t>
        </is>
      </c>
      <c r="G8" s="7" t="n"/>
      <c r="H8" s="15" t="n"/>
      <c r="I8" s="14" t="n"/>
      <c r="J8" s="7" t="n"/>
      <c r="K8" s="14" t="n"/>
      <c r="L8" s="7" t="n"/>
      <c r="M8" s="7" t="n"/>
      <c r="N8" s="14" t="n"/>
      <c r="O8" s="7" t="n"/>
    </row>
    <row r="9">
      <c r="A9" s="28" t="inlineStr">
        <is>
          <t>E2E-004</t>
        </is>
      </c>
      <c r="B9" s="28" t="inlineStr">
        <is>
          <t>4–5, 10</t>
        </is>
      </c>
      <c r="C9" s="29" t="inlineStr">
        <is>
          <t>Kịch bản D – Khách chưa trả tiền</t>
        </is>
      </c>
      <c r="D9" s="28" t="inlineStr">
        <is>
          <t>Phát sinh</t>
        </is>
      </c>
      <c r="E9" s="29" t="inlineStr">
        <is>
          <t>Đơn trên ngưỡng có đợt trước đặt hàng → PO bị khóa → BOD duyệt ngoại lệ → PO đi tiếp; đợt sau giao quá hạn</t>
        </is>
      </c>
      <c r="F9" s="29" t="inlineStr">
        <is>
          <t>PO mở sau ngoại lệ; đợt quá hạn hiện trong tuổi nợ</t>
        </is>
      </c>
      <c r="G9" s="7" t="n"/>
      <c r="H9" s="15" t="n"/>
      <c r="I9" s="14" t="n"/>
      <c r="J9" s="7" t="n"/>
      <c r="K9" s="14" t="n"/>
      <c r="L9" s="7" t="n"/>
      <c r="M9" s="7" t="n"/>
      <c r="N9" s="14" t="n"/>
      <c r="O9" s="7" t="n"/>
    </row>
    <row r="10">
      <c r="A10" s="28" t="inlineStr">
        <is>
          <t>E2E-005</t>
        </is>
      </c>
      <c r="B10" s="28" t="inlineStr">
        <is>
          <t>5–9</t>
        </is>
      </c>
      <c r="C10" s="29" t="inlineStr">
        <is>
          <t>Kịch bản E – Giao từng phần</t>
        </is>
      </c>
      <c r="D10" s="28" t="inlineStr">
        <is>
          <t>Phát sinh</t>
        </is>
      </c>
      <c r="E10" s="29" t="inlineStr">
        <is>
          <t>PO về 2 đợt, xuất kho 2 lần, xuất HĐ 2 lần</t>
        </is>
      </c>
      <c r="F10" s="29" t="inlineStr">
        <is>
          <t>Số lượng, công nợ, tồn kho khớp sau mỗi đợt</t>
        </is>
      </c>
      <c r="G10" s="7" t="n"/>
      <c r="H10" s="15" t="n"/>
      <c r="I10" s="14" t="n"/>
      <c r="J10" s="7" t="n"/>
      <c r="K10" s="14" t="n"/>
      <c r="L10" s="7" t="n"/>
      <c r="M10" s="7" t="n"/>
      <c r="N10" s="14" t="n"/>
      <c r="O10" s="7" t="n"/>
    </row>
    <row r="11">
      <c r="A11" s="28" t="inlineStr">
        <is>
          <t>E2E-006</t>
        </is>
      </c>
      <c r="B11" s="28" t="inlineStr">
        <is>
          <t>1–10</t>
        </is>
      </c>
      <c r="C11" s="29" t="inlineStr">
        <is>
          <t>Kịch bản F – Hủy đơn</t>
        </is>
      </c>
      <c r="D11" s="28" t="inlineStr">
        <is>
          <t>Phát sinh</t>
        </is>
      </c>
      <c r="E11" s="29" t="inlineStr">
        <is>
          <t>Hủy SO trước khi hàng về; thử hủy SO sau khi đã thu tiền</t>
        </is>
      </c>
      <c r="F11" s="29" t="inlineStr">
        <is>
          <t>Trước hàng về: PO, phiếu xuất liên quan xử lý đúng. Đã thu tiền: bị chặn</t>
        </is>
      </c>
      <c r="G11" s="7" t="n"/>
      <c r="H11" s="15" t="n"/>
      <c r="I11" s="14" t="n"/>
      <c r="J11" s="7" t="n"/>
      <c r="K11" s="14" t="n"/>
      <c r="L11" s="7" t="n"/>
      <c r="M11" s="7" t="n"/>
      <c r="N11" s="14" t="n"/>
      <c r="O11" s="7" t="n"/>
    </row>
    <row r="12">
      <c r="A12" s="12" t="inlineStr">
        <is>
          <t>E2E-007</t>
        </is>
      </c>
      <c r="B12" s="12" t="inlineStr">
        <is>
          <t>9</t>
        </is>
      </c>
      <c r="C12" s="10" t="inlineStr">
        <is>
          <t>Kịch bản G – Sau bán</t>
        </is>
      </c>
      <c r="D12" s="12" t="inlineStr">
        <is>
          <t>Luồng chính</t>
        </is>
      </c>
      <c r="E12" s="10" t="inlineStr">
        <is>
          <t>Khách báo lỗi → Kỹ thuật tra S/N → mở ticket hậu mãi → đóng</t>
        </is>
      </c>
      <c r="F12" s="10" t="inlineStr">
        <is>
          <t>Tra thấy đúng đơn, còn bảo hành; ticket đóng được</t>
        </is>
      </c>
      <c r="G12" s="7" t="n"/>
      <c r="H12" s="15" t="n"/>
      <c r="I12" s="14" t="n"/>
      <c r="J12" s="7" t="n"/>
      <c r="K12" s="14" t="n"/>
      <c r="L12" s="7" t="n"/>
      <c r="M12" s="7" t="n"/>
      <c r="N12" s="14" t="n"/>
      <c r="O12" s="7" t="n"/>
    </row>
    <row r="13">
      <c r="A13" s="12" t="inlineStr">
        <is>
          <t>E2E-008</t>
        </is>
      </c>
      <c r="B13" s="12" t="inlineStr">
        <is>
          <t>1–10</t>
        </is>
      </c>
      <c r="C13" s="10" t="inlineStr">
        <is>
          <t>Kiểm tra cuối kịch bản</t>
        </is>
      </c>
      <c r="D13" s="12" t="inlineStr">
        <is>
          <t>Luồng chính</t>
        </is>
      </c>
      <c r="E13" s="10" t="inlineStr">
        <is>
          <t>Sau mỗi kịch bản đối chiếu: Tồn kho, Công nợ khách hàng, Theo dõi hàng về, Báo cáo bán hàng và Dashboard</t>
        </is>
      </c>
      <c r="F13" s="10" t="inlineStr">
        <is>
          <t>Các màn hình khớp nhau và khớp chứng từ đã làm; dashboard cập nhật đúng doanh thu, margin</t>
        </is>
      </c>
      <c r="G13" s="7" t="n"/>
      <c r="H13" s="15" t="n"/>
      <c r="I13" s="14" t="n"/>
      <c r="J13" s="7" t="n"/>
      <c r="K13" s="14" t="n"/>
      <c r="L13" s="7" t="n"/>
      <c r="M13" s="7" t="n"/>
      <c r="N13" s="14" t="n"/>
      <c r="O13" s="7" t="n"/>
    </row>
  </sheetData>
  <autoFilter ref="A5:O13"/>
  <mergeCells count="3">
    <mergeCell ref="A1:O1"/>
    <mergeCell ref="A3:O3"/>
    <mergeCell ref="A2:O2"/>
  </mergeCells>
  <conditionalFormatting sqref="I6:I600">
    <cfRule type="expression" priority="1" dxfId="4">
      <formula>$I6="Đạt"</formula>
    </cfRule>
    <cfRule type="expression" priority="2" dxfId="5">
      <formula>$I6="Không đạt"</formula>
    </cfRule>
    <cfRule type="expression" priority="3" dxfId="6">
      <formula>$I6="Bị chặn"</formula>
    </cfRule>
  </conditionalFormatting>
  <conditionalFormatting sqref="J6:J600">
    <cfRule type="expression" priority="4" dxfId="7">
      <formula>AND(OR($I6="Không đạt",$I6="Bị chặn"),LEN(TRIM($J6))=0)</formula>
    </cfRule>
  </conditionalFormatting>
  <conditionalFormatting sqref="K6:K600">
    <cfRule type="expression" priority="5" dxfId="7">
      <formula>AND($I6="Không đạt",LEN(TRIM($K6))=0)</formula>
    </cfRule>
    <cfRule type="expression" priority="6" dxfId="3">
      <formula>$K6="Nghiêm trọng"</formula>
    </cfRule>
  </conditionalFormatting>
  <dataValidations count="4">
    <dataValidation sqref="I6:I600" showDropDown="0" showInputMessage="0" showErrorMessage="0" allowBlank="1" error="Chọn giá trị trong danh sách" type="list">
      <formula1>"Đạt,Không đạt,Bị chặn,Chưa test"</formula1>
    </dataValidation>
    <dataValidation sqref="K6:K600" showDropDown="0" showInputMessage="0" showErrorMessage="0" allowBlank="1" error="Chọn giá trị trong danh sách" type="list">
      <formula1>"Nghiêm trọng,Cao,Trung bình,Thấp"</formula1>
    </dataValidation>
    <dataValidation sqref="N6:N600" showDropDown="0" showInputMessage="0" showErrorMessage="0" allowBlank="1" error="Chọn giá trị trong danh sách" type="list">
      <formula1>"Mới,Đang sửa,Đã sửa – chờ test lại,Test lại đạt,Không sửa"</formula1>
    </dataValidation>
    <dataValidation sqref="H6:H600" showDropDown="0" showInputMessage="0" showErrorMessage="0" allowBlank="1" error="Nhập ngày dạng dd/mm/yyyy" type="date" operator="greaterThan">
      <formula1>DATE(2020,1,1)</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2026-10-26T11:01:18Z</dcterms:created>
  <dcterms:modified xmlns:dcterms="http://purl.org/dc/terms/" xmlns:xsi="http://www.w3.org/2001/XMLSchema-instance" xsi:type="dcterms:W3CDTF">2026-10-26T11:01:18Z</dcterms:modified>
</cp:coreProperties>
</file>